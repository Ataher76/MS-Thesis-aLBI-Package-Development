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cademic\Fourth Year\Term paper\R package\Writing\Final version\Article version\Article for Discussion\"/>
    </mc:Choice>
  </mc:AlternateContent>
  <xr:revisionPtr revIDLastSave="0" documentId="13_ncr:1_{C4DCCD74-1720-46E3-BDA1-3D2A608B423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1" i="1" l="1"/>
  <c r="AC10" i="1"/>
  <c r="AC6" i="1"/>
  <c r="AC7" i="1" s="1"/>
  <c r="AC3" i="1" s="1"/>
  <c r="Z6" i="1"/>
  <c r="Z7" i="1" s="1"/>
  <c r="Z3" i="1" s="1"/>
  <c r="Z5" i="1" s="1"/>
  <c r="W6" i="1"/>
  <c r="W7" i="1" s="1"/>
  <c r="W3" i="1" s="1"/>
  <c r="W5" i="1" s="1"/>
  <c r="T6" i="1"/>
  <c r="T7" i="1" s="1"/>
  <c r="T3" i="1" s="1"/>
  <c r="T5" i="1" s="1"/>
  <c r="Q6" i="1"/>
  <c r="Q7" i="1" s="1"/>
  <c r="Q3" i="1" s="1"/>
  <c r="Q5" i="1" s="1"/>
  <c r="N6" i="1"/>
  <c r="N7" i="1" s="1"/>
  <c r="N3" i="1" s="1"/>
  <c r="N5" i="1" s="1"/>
  <c r="K6" i="1"/>
  <c r="K7" i="1" s="1"/>
  <c r="K3" i="1" s="1"/>
  <c r="K5" i="1" s="1"/>
  <c r="H6" i="1"/>
  <c r="H7" i="1" s="1"/>
  <c r="H3" i="1" s="1"/>
  <c r="H5" i="1" s="1"/>
  <c r="E6" i="1"/>
  <c r="B3" i="1"/>
  <c r="B8" i="1" s="1"/>
  <c r="B10" i="1"/>
  <c r="B11" i="1" s="1"/>
  <c r="Z10" i="1"/>
  <c r="Z11" i="1" s="1"/>
  <c r="W10" i="1"/>
  <c r="W11" i="1" s="1"/>
  <c r="T10" i="1"/>
  <c r="T11" i="1" s="1"/>
  <c r="Q10" i="1"/>
  <c r="Q11" i="1" s="1"/>
  <c r="N10" i="1"/>
  <c r="N11" i="1" s="1"/>
  <c r="K10" i="1"/>
  <c r="K11" i="1" s="1"/>
  <c r="H10" i="1"/>
  <c r="H11" i="1" s="1"/>
  <c r="E10" i="1"/>
  <c r="E11" i="1" s="1"/>
  <c r="E3" i="1"/>
  <c r="E5" i="1" s="1"/>
  <c r="B6" i="1"/>
  <c r="AC5" i="1" l="1"/>
  <c r="AC8" i="1"/>
  <c r="Q8" i="1"/>
  <c r="N8" i="1"/>
  <c r="T8" i="1"/>
  <c r="E8" i="1"/>
  <c r="W8" i="1"/>
  <c r="K8" i="1"/>
  <c r="Z8" i="1"/>
  <c r="H8" i="1"/>
  <c r="B5" i="1"/>
</calcChain>
</file>

<file path=xl/sharedStrings.xml><?xml version="1.0" encoding="utf-8"?>
<sst xmlns="http://schemas.openxmlformats.org/spreadsheetml/2006/main" count="121" uniqueCount="21">
  <si>
    <t>Name</t>
  </si>
  <si>
    <t>Lm</t>
  </si>
  <si>
    <t xml:space="preserve">Lmax = </t>
  </si>
  <si>
    <t>tm</t>
  </si>
  <si>
    <t>Linf</t>
  </si>
  <si>
    <t>K</t>
  </si>
  <si>
    <t>tmax</t>
  </si>
  <si>
    <t>M</t>
  </si>
  <si>
    <t>S. aor</t>
  </si>
  <si>
    <t>Lopt</t>
  </si>
  <si>
    <t>Uttar Pradesh</t>
  </si>
  <si>
    <t>Khan et al., 2019</t>
  </si>
  <si>
    <t xml:space="preserve">Talwar and Jhingran (1991) and Tripathi (1996) </t>
  </si>
  <si>
    <t>Job et al., 1955</t>
  </si>
  <si>
    <t xml:space="preserve">Rahman (2005) </t>
  </si>
  <si>
    <t xml:space="preserve">Saigal (1964) </t>
  </si>
  <si>
    <t>Ramakrishniah (1992)</t>
  </si>
  <si>
    <t>(Nazir &amp; Khan, 2020) , Narora-Kanpur</t>
  </si>
  <si>
    <t>(Nazir &amp; Khan, 2020), varanasi</t>
  </si>
  <si>
    <t>(Nazir &amp; Khan, 2020) , Bhagalpur</t>
  </si>
  <si>
    <t>Day 1878+ Misra 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</si>
</sst>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Times-Roman"/>
    </font>
    <font>
      <sz val="10"/>
      <color rgb="FF242021"/>
      <name val="Times-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/>
    <xf numFmtId="2" fontId="1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 applyAlignment="1">
      <alignment horizontal="center" vertical="center"/>
    </xf>
    <xf numFmtId="0" fontId="7" fillId="2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zoomScaleNormal="100" workbookViewId="0">
      <selection activeCell="H18" sqref="H18"/>
    </sheetView>
  </sheetViews>
  <sheetFormatPr defaultRowHeight="15"/>
  <cols>
    <col min="1" max="1" width="9.28515625" bestFit="1" customWidth="1"/>
    <col min="2" max="2" width="12.140625" style="6" customWidth="1"/>
    <col min="3" max="3" width="5.140625" customWidth="1"/>
    <col min="6" max="6" width="9.5703125" bestFit="1" customWidth="1"/>
    <col min="7" max="7" width="10.5703125" bestFit="1" customWidth="1"/>
  </cols>
  <sheetData>
    <row r="1" spans="1:29">
      <c r="A1" t="s">
        <v>11</v>
      </c>
      <c r="D1" t="s">
        <v>20</v>
      </c>
      <c r="G1" s="22" t="s">
        <v>12</v>
      </c>
      <c r="J1" t="s">
        <v>13</v>
      </c>
      <c r="M1" s="22" t="s">
        <v>14</v>
      </c>
      <c r="P1" s="22" t="s">
        <v>15</v>
      </c>
      <c r="S1" s="22" t="s">
        <v>16</v>
      </c>
      <c r="V1" t="s">
        <v>17</v>
      </c>
      <c r="Y1" t="s">
        <v>18</v>
      </c>
      <c r="AB1" t="s">
        <v>19</v>
      </c>
    </row>
    <row r="2" spans="1:29" s="18" customFormat="1">
      <c r="A2" s="16" t="s">
        <v>0</v>
      </c>
      <c r="B2" s="17" t="s">
        <v>8</v>
      </c>
      <c r="D2" s="16" t="s">
        <v>0</v>
      </c>
      <c r="E2" s="17" t="s">
        <v>8</v>
      </c>
      <c r="G2" s="16" t="s">
        <v>0</v>
      </c>
      <c r="H2" s="17" t="s">
        <v>8</v>
      </c>
      <c r="J2" s="16" t="s">
        <v>0</v>
      </c>
      <c r="K2" s="17" t="s">
        <v>8</v>
      </c>
      <c r="M2" s="16" t="s">
        <v>0</v>
      </c>
      <c r="N2" s="17" t="s">
        <v>8</v>
      </c>
      <c r="P2" s="16" t="s">
        <v>0</v>
      </c>
      <c r="Q2" s="17" t="s">
        <v>8</v>
      </c>
      <c r="S2" s="16" t="s">
        <v>0</v>
      </c>
      <c r="T2" s="17" t="s">
        <v>8</v>
      </c>
      <c r="V2" s="16" t="s">
        <v>0</v>
      </c>
      <c r="W2" s="17" t="s">
        <v>8</v>
      </c>
      <c r="Y2" s="16" t="s">
        <v>0</v>
      </c>
      <c r="Z2" s="17" t="s">
        <v>8</v>
      </c>
      <c r="AB2" s="16" t="s">
        <v>0</v>
      </c>
      <c r="AC2" s="17" t="s">
        <v>8</v>
      </c>
    </row>
    <row r="3" spans="1:29">
      <c r="A3" s="2" t="s">
        <v>1</v>
      </c>
      <c r="B3" s="3">
        <f>10^(0.8979*(LOG(B7)-0.0782))</f>
        <v>65.075844307649163</v>
      </c>
      <c r="D3" s="2" t="s">
        <v>1</v>
      </c>
      <c r="E3" s="3">
        <f>10^(0.8979*(LOG(E7)-0.0782))</f>
        <v>95.678557064762984</v>
      </c>
      <c r="G3" s="2" t="s">
        <v>1</v>
      </c>
      <c r="H3" s="3">
        <f>10^(0.8979*(LOG(H7)-0.0782))</f>
        <v>94.361617588136198</v>
      </c>
      <c r="J3" s="2" t="s">
        <v>1</v>
      </c>
      <c r="K3" s="3">
        <f>10^(0.8979*(LOG(K7)-0.0782))</f>
        <v>66.547031399453459</v>
      </c>
      <c r="M3" s="2" t="s">
        <v>1</v>
      </c>
      <c r="N3" s="3">
        <f>10^(0.8979*(LOG(N7)-0.0782))</f>
        <v>52.657191803531148</v>
      </c>
      <c r="P3" s="2" t="s">
        <v>1</v>
      </c>
      <c r="Q3" s="3">
        <f>10^(0.8979*(LOG(Q7)-0.0782))</f>
        <v>83.995582770451918</v>
      </c>
      <c r="S3" s="2" t="s">
        <v>1</v>
      </c>
      <c r="T3" s="3">
        <f>10^(0.8979*(LOG(T7)-0.0782))</f>
        <v>57.302209359022697</v>
      </c>
      <c r="V3" s="2" t="s">
        <v>1</v>
      </c>
      <c r="W3" s="3">
        <f>10^(0.8979*(LOG(W7)-0.0782))</f>
        <v>50.69131816154853</v>
      </c>
      <c r="Y3" s="2" t="s">
        <v>1</v>
      </c>
      <c r="Z3" s="3">
        <f>10^(0.8979*(LOG(Z7)-0.0782))</f>
        <v>50.185861677351227</v>
      </c>
      <c r="AB3" s="2" t="s">
        <v>1</v>
      </c>
      <c r="AC3" s="3">
        <f>10^(0.8979*(LOG(AC7)-0.0782))</f>
        <v>48.310576150752659</v>
      </c>
    </row>
    <row r="4" spans="1:29">
      <c r="A4" s="2" t="s">
        <v>2</v>
      </c>
      <c r="B4" s="3">
        <v>119</v>
      </c>
      <c r="C4" s="13"/>
      <c r="D4" s="2" t="s">
        <v>2</v>
      </c>
      <c r="E4" s="3">
        <v>182.8</v>
      </c>
      <c r="G4" s="2" t="s">
        <v>2</v>
      </c>
      <c r="H4" s="3">
        <v>180</v>
      </c>
      <c r="J4" s="2" t="s">
        <v>2</v>
      </c>
      <c r="K4" s="3">
        <v>122</v>
      </c>
      <c r="M4" s="2" t="s">
        <v>2</v>
      </c>
      <c r="N4" s="3">
        <v>94</v>
      </c>
      <c r="P4" s="2" t="s">
        <v>2</v>
      </c>
      <c r="Q4" s="3">
        <v>158.12</v>
      </c>
      <c r="S4" s="2" t="s">
        <v>2</v>
      </c>
      <c r="T4" s="3">
        <v>103.28</v>
      </c>
      <c r="V4" s="2" t="s">
        <v>2</v>
      </c>
      <c r="W4" s="3">
        <v>90.1</v>
      </c>
      <c r="Y4" s="2" t="s">
        <v>2</v>
      </c>
      <c r="Z4" s="3">
        <v>89.1</v>
      </c>
      <c r="AB4" s="2" t="s">
        <v>2</v>
      </c>
      <c r="AC4" s="3">
        <v>85.4</v>
      </c>
    </row>
    <row r="5" spans="1:29" hidden="1">
      <c r="A5" s="2" t="s">
        <v>3</v>
      </c>
      <c r="B5" s="3" t="e">
        <f>-(1/B9)*LN(1-(B3/B7))</f>
        <v>#DIV/0!</v>
      </c>
      <c r="D5" s="2" t="s">
        <v>3</v>
      </c>
      <c r="E5" s="3" t="e">
        <f>-(1/E9)*LN(1-(E3/E7))</f>
        <v>#DIV/0!</v>
      </c>
      <c r="G5" s="2" t="s">
        <v>3</v>
      </c>
      <c r="H5" s="3" t="e">
        <f>-(1/H9)*LN(1-(H3/H7))</f>
        <v>#DIV/0!</v>
      </c>
      <c r="J5" s="2" t="s">
        <v>3</v>
      </c>
      <c r="K5" s="3" t="e">
        <f>-(1/K9)*LN(1-(K3/K7))</f>
        <v>#DIV/0!</v>
      </c>
      <c r="M5" s="2" t="s">
        <v>3</v>
      </c>
      <c r="N5" s="3" t="e">
        <f>-(1/N9)*LN(1-(N3/N7))</f>
        <v>#DIV/0!</v>
      </c>
      <c r="P5" s="2" t="s">
        <v>3</v>
      </c>
      <c r="Q5" s="3" t="e">
        <f>-(1/Q9)*LN(1-(Q3/Q7))</f>
        <v>#DIV/0!</v>
      </c>
      <c r="S5" s="2" t="s">
        <v>3</v>
      </c>
      <c r="T5" s="3" t="e">
        <f>-(1/T9)*LN(1-(T3/T7))</f>
        <v>#DIV/0!</v>
      </c>
      <c r="V5" s="2" t="s">
        <v>3</v>
      </c>
      <c r="W5" s="3" t="e">
        <f>-(1/W9)*LN(1-(W3/W7))</f>
        <v>#DIV/0!</v>
      </c>
      <c r="Y5" s="2" t="s">
        <v>3</v>
      </c>
      <c r="Z5" s="3" t="e">
        <f>-(1/Z9)*LN(1-(Z3/Z7))</f>
        <v>#DIV/0!</v>
      </c>
      <c r="AB5" s="2" t="s">
        <v>3</v>
      </c>
      <c r="AC5" s="3" t="e">
        <f>-(1/AC9)*LN(1-(AC3/AC7))</f>
        <v>#DIV/0!</v>
      </c>
    </row>
    <row r="6" spans="1:29" s="19" customFormat="1">
      <c r="A6" s="19" t="s">
        <v>4</v>
      </c>
      <c r="B6" s="20">
        <f>B4/0.95</f>
        <v>125.26315789473685</v>
      </c>
      <c r="D6" s="19" t="s">
        <v>4</v>
      </c>
      <c r="E6" s="20">
        <f>E4/0.95</f>
        <v>192.42105263157896</v>
      </c>
      <c r="G6" s="19" t="s">
        <v>4</v>
      </c>
      <c r="H6" s="20">
        <f>H4/0.95</f>
        <v>189.47368421052633</v>
      </c>
      <c r="J6" s="19" t="s">
        <v>4</v>
      </c>
      <c r="K6" s="20">
        <f>K4/0.95</f>
        <v>128.42105263157896</v>
      </c>
      <c r="M6" s="19" t="s">
        <v>4</v>
      </c>
      <c r="N6" s="20">
        <f>N4/0.95</f>
        <v>98.94736842105263</v>
      </c>
      <c r="P6" s="19" t="s">
        <v>4</v>
      </c>
      <c r="Q6" s="20">
        <f>Q4/0.95</f>
        <v>166.44210526315791</v>
      </c>
      <c r="S6" s="19" t="s">
        <v>4</v>
      </c>
      <c r="T6" s="20">
        <f>T4/0.95</f>
        <v>108.71578947368421</v>
      </c>
      <c r="V6" s="19" t="s">
        <v>4</v>
      </c>
      <c r="W6" s="20">
        <f>W4/0.95</f>
        <v>94.84210526315789</v>
      </c>
      <c r="Y6" s="19" t="s">
        <v>4</v>
      </c>
      <c r="Z6" s="20">
        <f>Z4/0.95</f>
        <v>93.78947368421052</v>
      </c>
      <c r="AB6" s="19" t="s">
        <v>4</v>
      </c>
      <c r="AC6" s="20">
        <f>AC4/0.95</f>
        <v>89.894736842105274</v>
      </c>
    </row>
    <row r="7" spans="1:29" s="1" customFormat="1">
      <c r="A7" s="1" t="s">
        <v>4</v>
      </c>
      <c r="B7" s="15">
        <v>125.26315789473685</v>
      </c>
      <c r="D7" s="1" t="s">
        <v>4</v>
      </c>
      <c r="E7" s="15">
        <v>192.42105263157896</v>
      </c>
      <c r="G7" s="1" t="s">
        <v>4</v>
      </c>
      <c r="H7" s="15">
        <f>H6</f>
        <v>189.47368421052633</v>
      </c>
      <c r="J7" s="1" t="s">
        <v>4</v>
      </c>
      <c r="K7" s="15">
        <f>K6</f>
        <v>128.42105263157896</v>
      </c>
      <c r="M7" s="1" t="s">
        <v>4</v>
      </c>
      <c r="N7" s="15">
        <f>N6</f>
        <v>98.94736842105263</v>
      </c>
      <c r="P7" s="1" t="s">
        <v>4</v>
      </c>
      <c r="Q7" s="15">
        <f>Q6</f>
        <v>166.44210526315791</v>
      </c>
      <c r="S7" s="1" t="s">
        <v>4</v>
      </c>
      <c r="T7" s="15">
        <f>T6</f>
        <v>108.71578947368421</v>
      </c>
      <c r="V7" s="1" t="s">
        <v>4</v>
      </c>
      <c r="W7" s="15">
        <f>W6</f>
        <v>94.84210526315789</v>
      </c>
      <c r="Y7" s="1" t="s">
        <v>4</v>
      </c>
      <c r="Z7" s="15">
        <f>Z6</f>
        <v>93.78947368421052</v>
      </c>
      <c r="AB7" s="1" t="s">
        <v>4</v>
      </c>
      <c r="AC7" s="15">
        <f>AC6</f>
        <v>89.894736842105274</v>
      </c>
    </row>
    <row r="8" spans="1:29">
      <c r="A8" s="2" t="s">
        <v>9</v>
      </c>
      <c r="B8" s="3">
        <f>10^(1.053*(LOG(B3)-0.0565))</f>
        <v>70.800538591377659</v>
      </c>
      <c r="D8" s="2" t="s">
        <v>9</v>
      </c>
      <c r="E8" s="3">
        <f>10^(1.053*(LOG(E3)-0.0565))</f>
        <v>106.24372566737671</v>
      </c>
      <c r="G8" s="2" t="s">
        <v>9</v>
      </c>
      <c r="H8" s="3">
        <f>10^(1.053*(LOG(H3)-0.0565))</f>
        <v>104.70442403280995</v>
      </c>
      <c r="J8" s="2" t="s">
        <v>9</v>
      </c>
      <c r="K8" s="3">
        <f>10^(1.053*(LOG(K3)-0.0565))</f>
        <v>72.486980151019353</v>
      </c>
      <c r="M8" s="2" t="s">
        <v>9</v>
      </c>
      <c r="N8" s="3">
        <f>10^(1.053*(LOG(N3)-0.0565))</f>
        <v>56.650070199779897</v>
      </c>
      <c r="P8" s="2" t="s">
        <v>9</v>
      </c>
      <c r="Q8" s="3">
        <f>10^(1.053*(LOG(Q3)-0.0565))</f>
        <v>92.629120252365524</v>
      </c>
      <c r="S8" s="2" t="s">
        <v>9</v>
      </c>
      <c r="T8" s="3">
        <f>10^(1.053*(LOG(T3)-0.0565))</f>
        <v>61.924135106648841</v>
      </c>
      <c r="V8" s="2" t="s">
        <v>9</v>
      </c>
      <c r="W8" s="3">
        <f>10^(1.053*(LOG(W3)-0.0565))</f>
        <v>54.425266540366046</v>
      </c>
      <c r="Y8" s="2" t="s">
        <v>9</v>
      </c>
      <c r="Z8" s="3">
        <f>10^(1.053*(LOG(Z3)-0.0565))</f>
        <v>53.853966851102605</v>
      </c>
      <c r="AB8" s="2" t="s">
        <v>9</v>
      </c>
      <c r="AC8" s="3">
        <f>10^(1.053*(LOG(AC3)-0.0565))</f>
        <v>51.737084832417722</v>
      </c>
    </row>
    <row r="9" spans="1:29" s="1" customFormat="1">
      <c r="A9" s="1" t="s">
        <v>5</v>
      </c>
      <c r="B9" s="15"/>
      <c r="D9" s="1" t="s">
        <v>5</v>
      </c>
      <c r="E9" s="15"/>
      <c r="G9" s="1" t="s">
        <v>5</v>
      </c>
      <c r="H9" s="15"/>
      <c r="J9" s="1" t="s">
        <v>5</v>
      </c>
      <c r="K9" s="15"/>
      <c r="M9" s="1" t="s">
        <v>5</v>
      </c>
      <c r="N9" s="15"/>
      <c r="P9" s="1" t="s">
        <v>5</v>
      </c>
      <c r="Q9" s="15"/>
      <c r="S9" s="1" t="s">
        <v>5</v>
      </c>
      <c r="T9" s="15"/>
      <c r="V9" s="1" t="s">
        <v>5</v>
      </c>
      <c r="W9" s="15"/>
      <c r="Y9" s="1" t="s">
        <v>5</v>
      </c>
      <c r="Z9" s="15"/>
      <c r="AB9" s="1" t="s">
        <v>5</v>
      </c>
      <c r="AC9" s="15"/>
    </row>
    <row r="10" spans="1:29">
      <c r="A10" s="2" t="s">
        <v>6</v>
      </c>
      <c r="B10" s="3" t="e">
        <f>3/B9</f>
        <v>#DIV/0!</v>
      </c>
      <c r="D10" s="2" t="s">
        <v>6</v>
      </c>
      <c r="E10" s="3" t="e">
        <f>3/E9</f>
        <v>#DIV/0!</v>
      </c>
      <c r="G10" s="2" t="s">
        <v>6</v>
      </c>
      <c r="H10" s="3" t="e">
        <f>3/H9</f>
        <v>#DIV/0!</v>
      </c>
      <c r="J10" s="2" t="s">
        <v>6</v>
      </c>
      <c r="K10" s="3" t="e">
        <f>3/K9</f>
        <v>#DIV/0!</v>
      </c>
      <c r="M10" s="2" t="s">
        <v>6</v>
      </c>
      <c r="N10" s="3" t="e">
        <f>3/N9</f>
        <v>#DIV/0!</v>
      </c>
      <c r="P10" s="2" t="s">
        <v>6</v>
      </c>
      <c r="Q10" s="3" t="e">
        <f>3/Q9</f>
        <v>#DIV/0!</v>
      </c>
      <c r="S10" s="2" t="s">
        <v>6</v>
      </c>
      <c r="T10" s="3" t="e">
        <f>3/T9</f>
        <v>#DIV/0!</v>
      </c>
      <c r="V10" s="2" t="s">
        <v>6</v>
      </c>
      <c r="W10" s="3" t="e">
        <f>3/W9</f>
        <v>#DIV/0!</v>
      </c>
      <c r="Y10" s="2" t="s">
        <v>6</v>
      </c>
      <c r="Z10" s="3" t="e">
        <f>3/Z9</f>
        <v>#DIV/0!</v>
      </c>
      <c r="AB10" s="2" t="s">
        <v>6</v>
      </c>
      <c r="AC10" s="3" t="e">
        <f>3/AC9</f>
        <v>#DIV/0!</v>
      </c>
    </row>
    <row r="11" spans="1:29">
      <c r="A11" s="2" t="s">
        <v>7</v>
      </c>
      <c r="B11" s="3" t="e">
        <f>EXP(1.44-0.982*LN(B10))</f>
        <v>#DIV/0!</v>
      </c>
      <c r="D11" s="2" t="s">
        <v>7</v>
      </c>
      <c r="E11" s="3" t="e">
        <f>EXP(1.44-0.982*LN(E10))</f>
        <v>#DIV/0!</v>
      </c>
      <c r="G11" s="2" t="s">
        <v>7</v>
      </c>
      <c r="H11" s="3" t="e">
        <f>EXP(1.44-0.982*LN(H10))</f>
        <v>#DIV/0!</v>
      </c>
      <c r="J11" s="2" t="s">
        <v>7</v>
      </c>
      <c r="K11" s="3" t="e">
        <f>EXP(1.44-0.982*LN(K10))</f>
        <v>#DIV/0!</v>
      </c>
      <c r="M11" s="2" t="s">
        <v>7</v>
      </c>
      <c r="N11" s="3" t="e">
        <f>EXP(1.44-0.982*LN(N10))</f>
        <v>#DIV/0!</v>
      </c>
      <c r="P11" s="2" t="s">
        <v>7</v>
      </c>
      <c r="Q11" s="3" t="e">
        <f>EXP(1.44-0.982*LN(Q10))</f>
        <v>#DIV/0!</v>
      </c>
      <c r="S11" s="2" t="s">
        <v>7</v>
      </c>
      <c r="T11" s="3" t="e">
        <f>EXP(1.44-0.982*LN(T10))</f>
        <v>#DIV/0!</v>
      </c>
      <c r="V11" s="2" t="s">
        <v>7</v>
      </c>
      <c r="W11" s="3" t="e">
        <f>EXP(1.44-0.982*LN(W10))</f>
        <v>#DIV/0!</v>
      </c>
      <c r="Y11" s="2" t="s">
        <v>7</v>
      </c>
      <c r="Z11" s="3" t="e">
        <f>EXP(1.44-0.982*LN(Z10))</f>
        <v>#DIV/0!</v>
      </c>
      <c r="AB11" s="2" t="s">
        <v>7</v>
      </c>
      <c r="AC11" s="3" t="e">
        <f>EXP(1.44-0.982*LN(AC10))</f>
        <v>#DIV/0!</v>
      </c>
    </row>
    <row r="12" spans="1:29">
      <c r="A12" s="21" t="s">
        <v>10</v>
      </c>
    </row>
    <row r="13" spans="1:29">
      <c r="A13" s="2"/>
      <c r="B13" s="4"/>
      <c r="D13" s="2"/>
      <c r="E13" s="4"/>
      <c r="G13" s="2"/>
      <c r="H13" s="4"/>
      <c r="J13" s="2"/>
      <c r="K13" s="4"/>
      <c r="M13" s="2"/>
      <c r="N13" s="4"/>
      <c r="P13" s="2"/>
      <c r="Q13" s="4"/>
      <c r="S13" s="2"/>
      <c r="T13" s="4"/>
      <c r="V13" s="2"/>
      <c r="W13" s="4"/>
      <c r="Y13" s="2"/>
      <c r="Z13" s="4"/>
    </row>
    <row r="14" spans="1:29">
      <c r="A14" s="1"/>
      <c r="B14" s="5"/>
      <c r="D14" s="1"/>
      <c r="E14" s="5"/>
      <c r="G14" s="1"/>
      <c r="H14" s="5"/>
      <c r="J14" s="1"/>
      <c r="K14" s="5"/>
      <c r="M14" s="1"/>
      <c r="N14" s="5"/>
      <c r="P14" s="1"/>
      <c r="Q14" s="5"/>
      <c r="S14" s="1"/>
      <c r="T14" s="5"/>
      <c r="V14" s="1"/>
      <c r="W14" s="5"/>
      <c r="Y14" s="1"/>
      <c r="Z14" s="5"/>
    </row>
    <row r="15" spans="1:29">
      <c r="A15" s="2"/>
      <c r="B15" s="4"/>
    </row>
    <row r="16" spans="1:29">
      <c r="A16" s="2"/>
      <c r="B16" s="3"/>
    </row>
    <row r="17" spans="1:14">
      <c r="A17" s="2"/>
      <c r="B17" s="3"/>
    </row>
    <row r="18" spans="1:14">
      <c r="A18" s="2"/>
      <c r="B18" s="3"/>
    </row>
    <row r="19" spans="1:14">
      <c r="A19" s="2"/>
      <c r="B19" s="3"/>
    </row>
    <row r="20" spans="1:14">
      <c r="A20" s="2"/>
      <c r="B20" s="3"/>
    </row>
    <row r="21" spans="1:14">
      <c r="A21" s="2"/>
      <c r="B21" s="3"/>
      <c r="L21" s="14"/>
      <c r="M21" s="14"/>
      <c r="N21" s="8"/>
    </row>
    <row r="22" spans="1:14">
      <c r="A22" s="2"/>
      <c r="B22" s="3"/>
    </row>
    <row r="23" spans="1:14">
      <c r="A23" s="2"/>
      <c r="B23" s="4"/>
      <c r="D23" s="7"/>
      <c r="E23" s="7"/>
      <c r="F23" s="7"/>
      <c r="G23" s="7"/>
    </row>
    <row r="24" spans="1:14" ht="15" customHeight="1">
      <c r="A24" s="2"/>
      <c r="B24" s="4"/>
      <c r="D24" s="9"/>
      <c r="E24" s="7"/>
      <c r="F24" s="12"/>
      <c r="G24" s="12"/>
    </row>
    <row r="25" spans="1:14" ht="15" customHeight="1">
      <c r="A25" s="2"/>
      <c r="B25" s="4"/>
      <c r="D25" s="9"/>
      <c r="E25" s="7"/>
      <c r="F25" s="12"/>
      <c r="G25" s="12"/>
    </row>
    <row r="26" spans="1:14" ht="15" customHeight="1">
      <c r="A26" s="2"/>
      <c r="B26" s="4"/>
      <c r="D26" s="9"/>
      <c r="E26" s="7"/>
      <c r="F26" s="12"/>
      <c r="G26" s="12"/>
    </row>
    <row r="27" spans="1:14" ht="15" customHeight="1">
      <c r="D27" s="9"/>
      <c r="E27" s="7"/>
      <c r="F27" s="12"/>
      <c r="G27" s="12"/>
    </row>
    <row r="28" spans="1:14" ht="15" customHeight="1">
      <c r="D28" s="9"/>
      <c r="E28" s="7"/>
      <c r="F28" s="12"/>
      <c r="G28" s="12"/>
    </row>
    <row r="29" spans="1:14" ht="15" customHeight="1">
      <c r="D29" s="9"/>
      <c r="E29" s="7"/>
      <c r="F29" s="12"/>
      <c r="G29" s="12"/>
    </row>
    <row r="30" spans="1:14" ht="15" customHeight="1">
      <c r="D30" s="9"/>
      <c r="E30" s="7"/>
      <c r="F30" s="12"/>
      <c r="G30" s="12"/>
    </row>
    <row r="31" spans="1:14" ht="15" customHeight="1">
      <c r="D31" s="11"/>
    </row>
    <row r="32" spans="1:14" ht="15" customHeight="1"/>
    <row r="33" spans="5:11" ht="15" customHeight="1"/>
    <row r="34" spans="5:11" ht="15" customHeight="1"/>
    <row r="35" spans="5:11" ht="15" customHeight="1">
      <c r="E35" s="10"/>
      <c r="F35" s="10"/>
      <c r="G35" s="10"/>
      <c r="H35" s="10"/>
      <c r="I35" s="10"/>
      <c r="J35" s="10"/>
      <c r="K3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2015-06-05T18:17:20Z</dcterms:created>
  <dcterms:modified xsi:type="dcterms:W3CDTF">2024-11-29T17:42:20Z</dcterms:modified>
</cp:coreProperties>
</file>