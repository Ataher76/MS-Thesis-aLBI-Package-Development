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Academic\MS\A Thesis\Thesis\R package\Writing\Plots\Sensitivity\"/>
    </mc:Choice>
  </mc:AlternateContent>
  <xr:revisionPtr revIDLastSave="0" documentId="13_ncr:1_{4722B9A6-9210-4763-AE47-E7D29FD068F9}" xr6:coauthVersionLast="47" xr6:coauthVersionMax="47" xr10:uidLastSave="{00000000-0000-0000-0000-000000000000}"/>
  <bookViews>
    <workbookView xWindow="-96" yWindow="0" windowWidth="10920" windowHeight="12336" firstSheet="1" activeTab="2" xr2:uid="{00000000-000D-0000-FFFF-FFFF00000000}"/>
  </bookViews>
  <sheets>
    <sheet name="lenghtpar" sheetId="1" r:id="rId1"/>
    <sheet name="froesepar" sheetId="2" r:id="rId2"/>
    <sheet name="BaseModel and summary" sheetId="6" r:id="rId3"/>
    <sheet name="Sheet1" sheetId="8" r:id="rId4"/>
  </sheets>
  <definedNames>
    <definedName name="_xlnm._FilterDatabase" localSheetId="2" hidden="1">'BaseModel and summary'!$Y$1:$Y$47</definedName>
  </definedNames>
  <calcPr calcId="191029"/>
</workbook>
</file>

<file path=xl/calcChain.xml><?xml version="1.0" encoding="utf-8"?>
<calcChain xmlns="http://schemas.openxmlformats.org/spreadsheetml/2006/main">
  <c r="AD20" i="6" l="1"/>
  <c r="AC20" i="6"/>
  <c r="AB20" i="6"/>
  <c r="T21" i="6"/>
  <c r="U21" i="6"/>
  <c r="V21" i="6"/>
  <c r="T22" i="6"/>
  <c r="U22" i="6"/>
  <c r="V22" i="6"/>
  <c r="V20" i="6"/>
  <c r="U20" i="6"/>
  <c r="T20" i="6"/>
  <c r="S21" i="6"/>
  <c r="S22" i="6"/>
  <c r="S20" i="6"/>
  <c r="K21" i="6"/>
  <c r="K22" i="6"/>
  <c r="K23" i="6"/>
  <c r="K24" i="6"/>
  <c r="K25" i="6"/>
  <c r="K20" i="6"/>
  <c r="I21" i="6"/>
  <c r="I22" i="6"/>
  <c r="I23" i="6"/>
  <c r="I24" i="6"/>
  <c r="I25" i="6"/>
  <c r="I20" i="6"/>
  <c r="H21" i="6"/>
  <c r="H22" i="6"/>
  <c r="H23" i="6"/>
  <c r="H24" i="6"/>
  <c r="H25" i="6"/>
  <c r="H20" i="6"/>
  <c r="G21" i="6"/>
  <c r="G22" i="6"/>
  <c r="G23" i="6"/>
  <c r="G24" i="6"/>
  <c r="G25" i="6"/>
  <c r="G20" i="6"/>
  <c r="W3" i="6"/>
  <c r="W4" i="6"/>
  <c r="W5" i="6"/>
  <c r="W6" i="6"/>
  <c r="W2" i="6"/>
  <c r="R14" i="6"/>
  <c r="E10" i="6"/>
  <c r="C15" i="6"/>
  <c r="F15" i="6" s="1"/>
  <c r="C10" i="6"/>
  <c r="C14" i="6"/>
  <c r="F14" i="6" s="1"/>
  <c r="E13" i="6"/>
  <c r="C13" i="6"/>
  <c r="C12" i="6"/>
  <c r="F12" i="6" s="1"/>
  <c r="C11" i="6"/>
  <c r="F11" i="6" s="1"/>
  <c r="J12" i="6"/>
  <c r="M12" i="6" s="1"/>
  <c r="J11" i="6"/>
  <c r="M11" i="6" s="1"/>
  <c r="J10" i="6"/>
  <c r="L10" i="6"/>
  <c r="M10" i="6" s="1"/>
  <c r="R11" i="6"/>
  <c r="R8" i="6"/>
  <c r="R5" i="6"/>
  <c r="J5" i="6"/>
  <c r="R2" i="6"/>
  <c r="AH38" i="6"/>
  <c r="AH39" i="6" s="1"/>
  <c r="AH34" i="6"/>
  <c r="AH35" i="6" s="1"/>
  <c r="AH31" i="6" s="1"/>
  <c r="AH36" i="6" s="1"/>
  <c r="AK38" i="6"/>
  <c r="AK39" i="6" s="1"/>
  <c r="AK34" i="6"/>
  <c r="AK35" i="6" s="1"/>
  <c r="AK31" i="6" s="1"/>
  <c r="AE38" i="6"/>
  <c r="AE39" i="6" s="1"/>
  <c r="AB38" i="6"/>
  <c r="AB39" i="6" s="1"/>
  <c r="V38" i="6"/>
  <c r="V39" i="6" s="1"/>
  <c r="S38" i="6"/>
  <c r="S39" i="6" s="1"/>
  <c r="P38" i="6"/>
  <c r="P39" i="6" s="1"/>
  <c r="M38" i="6"/>
  <c r="M39" i="6" s="1"/>
  <c r="I38" i="6"/>
  <c r="I39" i="6" s="1"/>
  <c r="F38" i="6"/>
  <c r="F39" i="6" s="1"/>
  <c r="B38" i="6"/>
  <c r="B39" i="6" s="1"/>
  <c r="AE34" i="6"/>
  <c r="AE35" i="6" s="1"/>
  <c r="AE31" i="6" s="1"/>
  <c r="AE33" i="6" s="1"/>
  <c r="AB34" i="6"/>
  <c r="AB35" i="6" s="1"/>
  <c r="AB31" i="6" s="1"/>
  <c r="AB33" i="6" s="1"/>
  <c r="Y34" i="6"/>
  <c r="Y35" i="6" s="1"/>
  <c r="Y31" i="6" s="1"/>
  <c r="V34" i="6"/>
  <c r="V35" i="6" s="1"/>
  <c r="V31" i="6" s="1"/>
  <c r="S34" i="6"/>
  <c r="S35" i="6" s="1"/>
  <c r="S31" i="6" s="1"/>
  <c r="P34" i="6"/>
  <c r="P35" i="6" s="1"/>
  <c r="P31" i="6" s="1"/>
  <c r="M34" i="6"/>
  <c r="M35" i="6" s="1"/>
  <c r="M31" i="6" s="1"/>
  <c r="I34" i="6"/>
  <c r="I35" i="6" s="1"/>
  <c r="I31" i="6" s="1"/>
  <c r="F34" i="6"/>
  <c r="B34" i="6"/>
  <c r="F31" i="6"/>
  <c r="F36" i="6" s="1"/>
  <c r="B31" i="6"/>
  <c r="B36" i="6" s="1"/>
  <c r="L5" i="6"/>
  <c r="M5" i="6"/>
  <c r="F10" i="6" l="1"/>
  <c r="F13" i="6"/>
  <c r="B33" i="6"/>
  <c r="F33" i="6"/>
  <c r="AH33" i="6"/>
  <c r="AK36" i="6"/>
  <c r="AK33" i="6"/>
  <c r="P36" i="6"/>
  <c r="P33" i="6"/>
  <c r="V33" i="6"/>
  <c r="V36" i="6"/>
  <c r="Y36" i="6"/>
  <c r="M36" i="6"/>
  <c r="M33" i="6"/>
  <c r="S36" i="6"/>
  <c r="S33" i="6"/>
  <c r="I33" i="6"/>
  <c r="I36" i="6"/>
  <c r="AB36" i="6"/>
  <c r="AE36" i="6"/>
  <c r="Y38" i="6" l="1"/>
  <c r="Y39" i="6" s="1"/>
  <c r="Y33" i="6"/>
</calcChain>
</file>

<file path=xl/sharedStrings.xml><?xml version="1.0" encoding="utf-8"?>
<sst xmlns="http://schemas.openxmlformats.org/spreadsheetml/2006/main" count="324" uniqueCount="71">
  <si>
    <t>Parameter</t>
  </si>
  <si>
    <t>Mean_estimate</t>
  </si>
  <si>
    <t>Lower_CI</t>
  </si>
  <si>
    <t>Upper_CI</t>
  </si>
  <si>
    <t>Lmax</t>
  </si>
  <si>
    <t>Linf</t>
  </si>
  <si>
    <t>Lmat</t>
  </si>
  <si>
    <t>Lopt</t>
  </si>
  <si>
    <t>Lopt_p10</t>
  </si>
  <si>
    <t>Lopt_m10</t>
  </si>
  <si>
    <t>Pmat</t>
  </si>
  <si>
    <t>Popt</t>
  </si>
  <si>
    <t>Pmega</t>
  </si>
  <si>
    <t>BinLen</t>
  </si>
  <si>
    <t>Pobj</t>
  </si>
  <si>
    <t>LM_ratio</t>
  </si>
  <si>
    <t>mean</t>
  </si>
  <si>
    <t>sd</t>
  </si>
  <si>
    <t>mean_pm</t>
  </si>
  <si>
    <t>values</t>
  </si>
  <si>
    <t>TSB40</t>
  </si>
  <si>
    <t>LSB25</t>
  </si>
  <si>
    <t>Length</t>
  </si>
  <si>
    <t>Frequency</t>
  </si>
  <si>
    <t>3</t>
  </si>
  <si>
    <t>1</t>
  </si>
  <si>
    <t>2</t>
  </si>
  <si>
    <t>4</t>
  </si>
  <si>
    <t>5</t>
  </si>
  <si>
    <t>Bin1</t>
  </si>
  <si>
    <t>Bin2</t>
  </si>
  <si>
    <t>Bin4</t>
  </si>
  <si>
    <t>Bin5</t>
  </si>
  <si>
    <t>Khan et al., 2019</t>
  </si>
  <si>
    <t>Day 1878+ Misra 1959</t>
  </si>
  <si>
    <t xml:space="preserve">Talwar and Jhingran (1991) and Tripathi (1996) </t>
  </si>
  <si>
    <t>Job et al., 1955</t>
  </si>
  <si>
    <t xml:space="preserve">Rahman (2005) </t>
  </si>
  <si>
    <t xml:space="preserve">Saigal (1964) </t>
  </si>
  <si>
    <t>Ramakrishniah (1992)</t>
  </si>
  <si>
    <t>(Nazir &amp; Khan, 2020) , Narora-Kanpur</t>
  </si>
  <si>
    <t>(Nazir &amp; Khan, 2020), varanasi</t>
  </si>
  <si>
    <t>(Nazir &amp; Khan, 2020) , Bhagalpur</t>
  </si>
  <si>
    <t>Name</t>
  </si>
  <si>
    <t>S. aor</t>
  </si>
  <si>
    <t>Lm</t>
  </si>
  <si>
    <t xml:space="preserve">Lmax = </t>
  </si>
  <si>
    <t>tm</t>
  </si>
  <si>
    <t>K</t>
  </si>
  <si>
    <t>tmax</t>
  </si>
  <si>
    <t>M</t>
  </si>
  <si>
    <t>Uttar Pradesh</t>
  </si>
  <si>
    <t>Location</t>
  </si>
  <si>
    <t>Banarupa bazar</t>
  </si>
  <si>
    <t>Reserve Bazar</t>
  </si>
  <si>
    <t>R, FG</t>
  </si>
  <si>
    <t>KFG</t>
  </si>
  <si>
    <t>Lat</t>
  </si>
  <si>
    <t>long</t>
  </si>
  <si>
    <t xml:space="preserve"> 22°39'16.26"N</t>
  </si>
  <si>
    <t xml:space="preserve"> 92°11'49.33"E</t>
  </si>
  <si>
    <t xml:space="preserve"> 22°39'13.36"N</t>
  </si>
  <si>
    <t xml:space="preserve"> 92°10'44.15"E</t>
  </si>
  <si>
    <t xml:space="preserve"> 22°29'51.12"N</t>
  </si>
  <si>
    <t xml:space="preserve"> 92°13'11.66"E</t>
  </si>
  <si>
    <t xml:space="preserve"> 22°38'55.22"N</t>
  </si>
  <si>
    <t xml:space="preserve"> 92°11'4.41"E</t>
  </si>
  <si>
    <t>Ps</t>
  </si>
  <si>
    <t xml:space="preserve">(Nazir &amp; Khan, 2019) </t>
  </si>
  <si>
    <t>±</t>
  </si>
  <si>
    <t>Bin3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</si>
</sst>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>
    <font>
      <sz val="11"/>
      <color rgb="FF00000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onsolas"/>
      <family val="3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42021"/>
      <name val="Times-Roman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000000"/>
      <name val="Times-Roman"/>
    </font>
    <font>
      <sz val="11"/>
      <color rgb="FF7030A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/>
    <xf numFmtId="0" fontId="5" fillId="0" borderId="0" xfId="0" applyFont="1"/>
    <xf numFmtId="0" fontId="5" fillId="3" borderId="0" xfId="0" applyFont="1" applyFill="1" applyAlignment="1">
      <alignment horizontal="center" vertical="center"/>
    </xf>
    <xf numFmtId="0" fontId="5" fillId="3" borderId="0" xfId="0" applyFont="1" applyFill="1"/>
    <xf numFmtId="0" fontId="5" fillId="3" borderId="0" xfId="0" applyFont="1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3" borderId="0" xfId="0" applyFill="1"/>
    <xf numFmtId="0" fontId="0" fillId="5" borderId="1" xfId="0" applyFill="1" applyBorder="1"/>
    <xf numFmtId="2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/>
    <xf numFmtId="0" fontId="0" fillId="4" borderId="1" xfId="0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 vertical="center"/>
    </xf>
    <xf numFmtId="0" fontId="6" fillId="0" borderId="0" xfId="0" applyFont="1"/>
    <xf numFmtId="0" fontId="9" fillId="0" borderId="0" xfId="0" applyFont="1"/>
    <xf numFmtId="2" fontId="9" fillId="0" borderId="0" xfId="0" applyNumberFormat="1" applyFont="1" applyAlignment="1">
      <alignment horizontal="center" vertical="center"/>
    </xf>
    <xf numFmtId="0" fontId="0" fillId="0" borderId="0" xfId="0" applyAlignment="1">
      <alignment horizontal="right"/>
    </xf>
    <xf numFmtId="0" fontId="10" fillId="0" borderId="0" xfId="0" applyFont="1"/>
    <xf numFmtId="2" fontId="10" fillId="0" borderId="0" xfId="0" applyNumberFormat="1" applyFont="1" applyAlignment="1">
      <alignment horizontal="center" vertical="center"/>
    </xf>
    <xf numFmtId="0" fontId="3" fillId="0" borderId="0" xfId="0" applyFont="1"/>
    <xf numFmtId="0" fontId="11" fillId="4" borderId="0" xfId="0" applyFont="1" applyFill="1"/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0" fillId="0" borderId="0" xfId="0" applyNumberFormat="1"/>
    <xf numFmtId="2" fontId="1" fillId="0" borderId="0" xfId="0" applyNumberFormat="1" applyFont="1"/>
    <xf numFmtId="2" fontId="12" fillId="0" borderId="0" xfId="0" applyNumberFormat="1" applyFont="1"/>
    <xf numFmtId="164" fontId="1" fillId="0" borderId="0" xfId="0" applyNumberFormat="1" applyFont="1"/>
    <xf numFmtId="0" fontId="1" fillId="0" borderId="0" xfId="0" applyFont="1"/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zoomScaleNormal="100" workbookViewId="0">
      <selection sqref="A1:E1048576"/>
    </sheetView>
  </sheetViews>
  <sheetFormatPr defaultColWidth="11.44140625" defaultRowHeight="14.4"/>
  <sheetData>
    <row r="1" spans="1:5">
      <c r="A1" t="s">
        <v>0</v>
      </c>
      <c r="B1" t="s">
        <v>13</v>
      </c>
      <c r="C1" t="s">
        <v>1</v>
      </c>
      <c r="D1" t="s">
        <v>2</v>
      </c>
      <c r="E1" t="s">
        <v>3</v>
      </c>
    </row>
    <row r="2" spans="1:5">
      <c r="A2" t="s">
        <v>4</v>
      </c>
      <c r="B2">
        <v>1</v>
      </c>
      <c r="C2" s="6">
        <v>76.039266171358605</v>
      </c>
      <c r="D2" s="6">
        <v>74.127993574431997</v>
      </c>
      <c r="E2" s="6">
        <v>77.946382990171898</v>
      </c>
    </row>
    <row r="3" spans="1:5">
      <c r="A3" t="s">
        <v>5</v>
      </c>
      <c r="B3">
        <v>1</v>
      </c>
      <c r="C3" s="6">
        <v>80.041332811956394</v>
      </c>
      <c r="D3" s="6">
        <v>78.029466920454794</v>
      </c>
      <c r="E3" s="6">
        <v>82.048824200181002</v>
      </c>
    </row>
    <row r="4" spans="1:5">
      <c r="A4" t="s">
        <v>6</v>
      </c>
      <c r="B4">
        <v>1</v>
      </c>
      <c r="C4" s="6">
        <v>42.804714474204403</v>
      </c>
      <c r="D4" s="6">
        <v>39.839565625720198</v>
      </c>
      <c r="E4" s="6">
        <v>45.656639234033797</v>
      </c>
    </row>
    <row r="5" spans="1:5">
      <c r="A5" t="s">
        <v>7</v>
      </c>
      <c r="B5">
        <v>1</v>
      </c>
      <c r="C5" s="6">
        <v>45.884543757963698</v>
      </c>
      <c r="D5" s="6">
        <v>41.482756873815703</v>
      </c>
      <c r="E5" s="6">
        <v>50.454644481993199</v>
      </c>
    </row>
    <row r="6" spans="1:5">
      <c r="A6" t="s">
        <v>8</v>
      </c>
      <c r="B6">
        <v>1</v>
      </c>
      <c r="C6" s="6">
        <v>50.472998133760001</v>
      </c>
      <c r="D6" s="6">
        <v>45.631032561197202</v>
      </c>
      <c r="E6" s="6">
        <v>55.500108930192503</v>
      </c>
    </row>
    <row r="7" spans="1:5">
      <c r="A7" t="s">
        <v>9</v>
      </c>
      <c r="B7">
        <v>1</v>
      </c>
      <c r="C7" s="6">
        <v>41.296089382167303</v>
      </c>
      <c r="D7" s="6">
        <v>37.334481186434097</v>
      </c>
      <c r="E7" s="6">
        <v>45.409180033793902</v>
      </c>
    </row>
    <row r="8" spans="1:5">
      <c r="A8" t="s">
        <v>4</v>
      </c>
      <c r="B8">
        <v>2</v>
      </c>
      <c r="C8" s="6">
        <v>77.008383729472399</v>
      </c>
      <c r="D8" s="6">
        <v>75.006855095925303</v>
      </c>
      <c r="E8" s="6">
        <v>79.017305922157405</v>
      </c>
    </row>
    <row r="9" spans="1:5">
      <c r="A9" t="s">
        <v>5</v>
      </c>
      <c r="B9">
        <v>2</v>
      </c>
      <c r="C9" s="6">
        <v>81.061456557339298</v>
      </c>
      <c r="D9" s="6">
        <v>78.954584311500298</v>
      </c>
      <c r="E9" s="6">
        <v>83.176111497007795</v>
      </c>
    </row>
    <row r="10" spans="1:5">
      <c r="A10" t="s">
        <v>6</v>
      </c>
      <c r="B10">
        <v>2</v>
      </c>
      <c r="C10" s="6">
        <v>43.264237796745697</v>
      </c>
      <c r="D10" s="6">
        <v>40.102821585419697</v>
      </c>
      <c r="E10" s="6">
        <v>46.446065193975997</v>
      </c>
    </row>
    <row r="11" spans="1:5">
      <c r="A11" t="s">
        <v>7</v>
      </c>
      <c r="B11">
        <v>2</v>
      </c>
      <c r="C11" s="6">
        <v>46.417262559134201</v>
      </c>
      <c r="D11" s="6">
        <v>41.937488394226897</v>
      </c>
      <c r="E11" s="6">
        <v>51.358612673743202</v>
      </c>
    </row>
    <row r="12" spans="1:5">
      <c r="A12" t="s">
        <v>8</v>
      </c>
      <c r="B12">
        <v>2</v>
      </c>
      <c r="C12" s="6">
        <v>51.058988815047698</v>
      </c>
      <c r="D12" s="6">
        <v>46.1312372336496</v>
      </c>
      <c r="E12" s="6">
        <v>56.494473941117498</v>
      </c>
    </row>
    <row r="13" spans="1:5">
      <c r="A13" t="s">
        <v>9</v>
      </c>
      <c r="B13">
        <v>2</v>
      </c>
      <c r="C13" s="6">
        <v>41.775536303220797</v>
      </c>
      <c r="D13" s="6">
        <v>37.743739554804201</v>
      </c>
      <c r="E13" s="6">
        <v>46.2227514063689</v>
      </c>
    </row>
    <row r="14" spans="1:5">
      <c r="A14" t="s">
        <v>4</v>
      </c>
      <c r="B14">
        <v>3</v>
      </c>
      <c r="C14" s="6">
        <v>78.0128864527682</v>
      </c>
      <c r="D14" s="6">
        <v>76.004040504924703</v>
      </c>
      <c r="E14" s="6">
        <v>79.9255161834256</v>
      </c>
    </row>
    <row r="15" spans="1:5">
      <c r="A15" t="s">
        <v>5</v>
      </c>
      <c r="B15">
        <v>3</v>
      </c>
      <c r="C15" s="6">
        <v>82.118827845019098</v>
      </c>
      <c r="D15" s="6">
        <v>80.004253163078602</v>
      </c>
      <c r="E15" s="6">
        <v>84.132122298342793</v>
      </c>
    </row>
    <row r="16" spans="1:5">
      <c r="A16" t="s">
        <v>6</v>
      </c>
      <c r="B16">
        <v>3</v>
      </c>
      <c r="C16" s="6">
        <v>43.728142696585302</v>
      </c>
      <c r="D16" s="6">
        <v>40.709954194927903</v>
      </c>
      <c r="E16" s="6">
        <v>46.783438933793001</v>
      </c>
    </row>
    <row r="17" spans="1:5">
      <c r="A17" t="s">
        <v>7</v>
      </c>
      <c r="B17">
        <v>3</v>
      </c>
      <c r="C17" s="6">
        <v>47.034365870247903</v>
      </c>
      <c r="D17" s="6">
        <v>42.489414270605899</v>
      </c>
      <c r="E17" s="6">
        <v>51.607445473869902</v>
      </c>
    </row>
    <row r="18" spans="1:5">
      <c r="A18" t="s">
        <v>8</v>
      </c>
      <c r="B18">
        <v>3</v>
      </c>
      <c r="C18" s="6">
        <v>51.7378024572727</v>
      </c>
      <c r="D18" s="6">
        <v>46.738355697666499</v>
      </c>
      <c r="E18" s="6">
        <v>56.768190021256899</v>
      </c>
    </row>
    <row r="19" spans="1:5">
      <c r="A19" t="s">
        <v>9</v>
      </c>
      <c r="B19">
        <v>3</v>
      </c>
      <c r="C19" s="6">
        <v>42.330929283223099</v>
      </c>
      <c r="D19" s="6">
        <v>38.240472843545298</v>
      </c>
      <c r="E19" s="6">
        <v>46.446700926482897</v>
      </c>
    </row>
    <row r="20" spans="1:5">
      <c r="A20" t="s">
        <v>4</v>
      </c>
      <c r="B20">
        <v>4</v>
      </c>
      <c r="C20" s="6">
        <v>77.046131012829804</v>
      </c>
      <c r="D20" s="6">
        <v>75.149080862264697</v>
      </c>
      <c r="E20" s="6">
        <v>78.917700904613</v>
      </c>
    </row>
    <row r="21" spans="1:5">
      <c r="A21" t="s">
        <v>5</v>
      </c>
      <c r="B21">
        <v>4</v>
      </c>
      <c r="C21" s="6">
        <v>81.101190539820905</v>
      </c>
      <c r="D21" s="6">
        <v>79.104295644489198</v>
      </c>
      <c r="E21" s="6">
        <v>83.071264110118904</v>
      </c>
    </row>
    <row r="22" spans="1:5">
      <c r="A22" t="s">
        <v>6</v>
      </c>
      <c r="B22">
        <v>4</v>
      </c>
      <c r="C22" s="6">
        <v>43.230499807393201</v>
      </c>
      <c r="D22" s="6">
        <v>40.340787773902797</v>
      </c>
      <c r="E22" s="6">
        <v>46.283578472149898</v>
      </c>
    </row>
    <row r="23" spans="1:5">
      <c r="A23" t="s">
        <v>7</v>
      </c>
      <c r="B23">
        <v>4</v>
      </c>
      <c r="C23" s="6">
        <v>46.3976441778401</v>
      </c>
      <c r="D23" s="6">
        <v>41.7486059547332</v>
      </c>
      <c r="E23" s="6">
        <v>51.208129468420402</v>
      </c>
    </row>
    <row r="24" spans="1:5">
      <c r="A24" t="s">
        <v>8</v>
      </c>
      <c r="B24">
        <v>4</v>
      </c>
      <c r="C24" s="6">
        <v>51.0374085956241</v>
      </c>
      <c r="D24" s="6">
        <v>45.923466550206598</v>
      </c>
      <c r="E24" s="6">
        <v>56.328942415262503</v>
      </c>
    </row>
    <row r="25" spans="1:5">
      <c r="A25" t="s">
        <v>9</v>
      </c>
      <c r="B25">
        <v>4</v>
      </c>
      <c r="C25" s="6">
        <v>41.757879760056099</v>
      </c>
      <c r="D25" s="6">
        <v>37.573745359259902</v>
      </c>
      <c r="E25" s="6">
        <v>46.087316521578401</v>
      </c>
    </row>
    <row r="26" spans="1:5">
      <c r="A26" t="s">
        <v>4</v>
      </c>
      <c r="B26">
        <v>5</v>
      </c>
      <c r="C26" s="6">
        <v>79.004496991209507</v>
      </c>
      <c r="D26" s="6">
        <v>76.922357823901507</v>
      </c>
      <c r="E26" s="6">
        <v>80.882508707177706</v>
      </c>
    </row>
    <row r="27" spans="1:5">
      <c r="A27" t="s">
        <v>5</v>
      </c>
      <c r="B27">
        <v>5</v>
      </c>
      <c r="C27" s="6">
        <v>83.162628411799403</v>
      </c>
      <c r="D27" s="6">
        <v>80.970902972527895</v>
      </c>
      <c r="E27" s="6">
        <v>85.139482849660794</v>
      </c>
    </row>
    <row r="28" spans="1:5">
      <c r="A28" t="s">
        <v>6</v>
      </c>
      <c r="B28">
        <v>5</v>
      </c>
      <c r="C28" s="6">
        <v>44.245095824701302</v>
      </c>
      <c r="D28" s="6">
        <v>40.926173877635499</v>
      </c>
      <c r="E28" s="6">
        <v>47.830329802208396</v>
      </c>
    </row>
    <row r="29" spans="1:5">
      <c r="A29" t="s">
        <v>7</v>
      </c>
      <c r="B29">
        <v>5</v>
      </c>
      <c r="C29" s="6">
        <v>47.620642231839398</v>
      </c>
      <c r="D29" s="6">
        <v>42.985374760481399</v>
      </c>
      <c r="E29" s="6">
        <v>52.820266520553801</v>
      </c>
    </row>
    <row r="30" spans="1:5">
      <c r="A30" t="s">
        <v>8</v>
      </c>
      <c r="B30">
        <v>5</v>
      </c>
      <c r="C30" s="6">
        <v>52.382706455023303</v>
      </c>
      <c r="D30" s="6">
        <v>47.283912236529503</v>
      </c>
      <c r="E30" s="6">
        <v>58.102293172609201</v>
      </c>
    </row>
    <row r="31" spans="1:5">
      <c r="A31" t="s">
        <v>9</v>
      </c>
      <c r="B31">
        <v>5</v>
      </c>
      <c r="C31" s="6">
        <v>42.858578008655499</v>
      </c>
      <c r="D31" s="6">
        <v>38.686837284433203</v>
      </c>
      <c r="E31" s="6">
        <v>47.538239868498401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workbookViewId="0">
      <selection activeCell="M12" sqref="M12"/>
    </sheetView>
  </sheetViews>
  <sheetFormatPr defaultColWidth="11.44140625" defaultRowHeight="14.4"/>
  <cols>
    <col min="2" max="2" width="11.44140625" style="2"/>
    <col min="3" max="3" width="12.5546875" bestFit="1" customWidth="1"/>
    <col min="4" max="4" width="11.5546875" style="2" bestFit="1" customWidth="1"/>
    <col min="5" max="5" width="12.5546875" bestFit="1" customWidth="1"/>
  </cols>
  <sheetData>
    <row r="1" spans="1:5">
      <c r="A1" t="s">
        <v>0</v>
      </c>
      <c r="B1" s="2" t="s">
        <v>13</v>
      </c>
      <c r="C1" t="s">
        <v>1</v>
      </c>
      <c r="D1" t="s">
        <v>2</v>
      </c>
      <c r="E1" t="s">
        <v>3</v>
      </c>
    </row>
    <row r="2" spans="1:5">
      <c r="A2" t="s">
        <v>10</v>
      </c>
      <c r="B2" s="2">
        <v>1</v>
      </c>
      <c r="C2" s="6">
        <v>2.2982338574047598</v>
      </c>
      <c r="D2" s="6">
        <v>1.09234936046599</v>
      </c>
      <c r="E2" s="6">
        <v>3.6855355659907301</v>
      </c>
    </row>
    <row r="3" spans="1:5">
      <c r="A3" t="s">
        <v>11</v>
      </c>
      <c r="B3" s="2">
        <v>1</v>
      </c>
      <c r="C3" s="6">
        <v>2.6070885703518401</v>
      </c>
      <c r="D3" s="6">
        <v>1.13832798180982</v>
      </c>
      <c r="E3" s="6">
        <v>4.8801975398927704</v>
      </c>
    </row>
    <row r="4" spans="1:5">
      <c r="A4" t="s">
        <v>12</v>
      </c>
      <c r="B4" s="2">
        <v>1</v>
      </c>
      <c r="C4" s="6">
        <v>0.45676862174991201</v>
      </c>
      <c r="D4" s="6">
        <v>0.122748449804909</v>
      </c>
      <c r="E4" s="6">
        <v>1.28371072666173</v>
      </c>
    </row>
    <row r="5" spans="1:5">
      <c r="A5" t="s">
        <v>10</v>
      </c>
      <c r="B5" s="2">
        <v>2</v>
      </c>
      <c r="C5" s="6">
        <v>2.3719033666417801</v>
      </c>
      <c r="D5" s="6">
        <v>1.02989193506004</v>
      </c>
      <c r="E5" s="6">
        <v>3.71890763134342</v>
      </c>
    </row>
    <row r="6" spans="1:5">
      <c r="A6" t="s">
        <v>11</v>
      </c>
      <c r="B6" s="2">
        <v>2</v>
      </c>
      <c r="C6" s="6">
        <v>2.7238811920816901</v>
      </c>
      <c r="D6" s="6">
        <v>0.98193908889489101</v>
      </c>
      <c r="E6" s="6">
        <v>5.46752129851183</v>
      </c>
    </row>
    <row r="7" spans="1:5">
      <c r="A7" t="s">
        <v>12</v>
      </c>
      <c r="B7" s="2">
        <v>2</v>
      </c>
      <c r="C7" s="6">
        <v>0.41065432410129799</v>
      </c>
      <c r="D7" s="6">
        <v>8.1784127161972003E-2</v>
      </c>
      <c r="E7" s="6">
        <v>1.2173169402409401</v>
      </c>
    </row>
    <row r="8" spans="1:5">
      <c r="A8" t="s">
        <v>10</v>
      </c>
      <c r="B8" s="2">
        <v>3</v>
      </c>
      <c r="C8" s="6">
        <v>2.0384440949234199</v>
      </c>
      <c r="D8" s="6">
        <v>0.88419415257463296</v>
      </c>
      <c r="E8" s="6">
        <v>3.5786175480177902</v>
      </c>
    </row>
    <row r="9" spans="1:5">
      <c r="A9" t="s">
        <v>11</v>
      </c>
      <c r="B9" s="2">
        <v>3</v>
      </c>
      <c r="C9" s="6">
        <v>2.3795041294646002</v>
      </c>
      <c r="D9" s="6">
        <v>0.87205833259512699</v>
      </c>
      <c r="E9" s="6">
        <v>5.7961361458152396</v>
      </c>
    </row>
    <row r="10" spans="1:5">
      <c r="A10" t="s">
        <v>12</v>
      </c>
      <c r="B10" s="2">
        <v>3</v>
      </c>
      <c r="C10" s="6">
        <v>0.34736225333697601</v>
      </c>
      <c r="D10" s="6">
        <v>7.9687285512482095E-2</v>
      </c>
      <c r="E10" s="6">
        <v>1.1594404145399799</v>
      </c>
    </row>
    <row r="11" spans="1:5">
      <c r="A11" t="s">
        <v>10</v>
      </c>
      <c r="B11" s="2">
        <v>4</v>
      </c>
      <c r="C11" s="6">
        <v>2.90966179911804</v>
      </c>
      <c r="D11" s="6">
        <v>0.91091746416254504</v>
      </c>
      <c r="E11" s="6">
        <v>5.4213103918734999</v>
      </c>
    </row>
    <row r="12" spans="1:5">
      <c r="A12" t="s">
        <v>11</v>
      </c>
      <c r="B12" s="2">
        <v>4</v>
      </c>
      <c r="C12" s="6">
        <v>3.2606840466603799</v>
      </c>
      <c r="D12" s="6">
        <v>0.83707152304570698</v>
      </c>
      <c r="E12" s="6">
        <v>5.4540358918715404</v>
      </c>
    </row>
    <row r="13" spans="1:5">
      <c r="A13" t="s">
        <v>12</v>
      </c>
      <c r="B13" s="2">
        <v>4</v>
      </c>
      <c r="C13" s="6">
        <v>0.49177545487580199</v>
      </c>
      <c r="D13" s="6">
        <v>0.113062151965765</v>
      </c>
      <c r="E13" s="6">
        <v>1.22020735969895</v>
      </c>
    </row>
    <row r="14" spans="1:5">
      <c r="A14" t="s">
        <v>10</v>
      </c>
      <c r="B14" s="2">
        <v>5</v>
      </c>
      <c r="C14" s="6">
        <v>2.2201916413978302</v>
      </c>
      <c r="D14" s="6">
        <v>1.1230681169030701</v>
      </c>
      <c r="E14" s="6">
        <v>3.6575942137222501</v>
      </c>
    </row>
    <row r="15" spans="1:5">
      <c r="A15" t="s">
        <v>11</v>
      </c>
      <c r="B15" s="2">
        <v>5</v>
      </c>
      <c r="C15" s="6">
        <v>2.42982444468357</v>
      </c>
      <c r="D15" s="6">
        <v>0.99897794006235596</v>
      </c>
      <c r="E15" s="6">
        <v>7.6717844325020303</v>
      </c>
    </row>
    <row r="16" spans="1:5">
      <c r="A16" t="s">
        <v>12</v>
      </c>
      <c r="B16" s="2">
        <v>5</v>
      </c>
      <c r="C16" s="6">
        <v>0.431060655325958</v>
      </c>
      <c r="D16" s="6">
        <v>7.5831203925111001E-2</v>
      </c>
      <c r="E16" s="6">
        <v>1.5087056715163101</v>
      </c>
    </row>
    <row r="17" spans="4:4">
      <c r="D17"/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D9E82-0822-4970-84BF-6493711CA357}">
  <dimension ref="A1:AZ47"/>
  <sheetViews>
    <sheetView tabSelected="1" topLeftCell="F1" zoomScale="97" zoomScaleNormal="85" workbookViewId="0">
      <selection activeCell="AA11" sqref="AA11"/>
    </sheetView>
  </sheetViews>
  <sheetFormatPr defaultRowHeight="14.4"/>
  <cols>
    <col min="1" max="1" width="15.44140625" style="2" bestFit="1" customWidth="1"/>
    <col min="2" max="2" width="14.109375" style="2" bestFit="1" customWidth="1"/>
    <col min="3" max="3" width="15.21875" style="2" bestFit="1" customWidth="1"/>
    <col min="4" max="4" width="9.33203125" style="2" bestFit="1" customWidth="1"/>
    <col min="5" max="5" width="5.88671875" style="2" bestFit="1" customWidth="1"/>
    <col min="6" max="6" width="10.5546875" style="2" bestFit="1" customWidth="1"/>
    <col min="7" max="7" width="5.77734375" style="9" bestFit="1" customWidth="1"/>
    <col min="8" max="8" width="10.5546875" bestFit="1" customWidth="1"/>
    <col min="9" max="9" width="7.5546875" bestFit="1" customWidth="1"/>
    <col min="10" max="10" width="15.21875" bestFit="1" customWidth="1"/>
    <col min="11" max="11" width="5.33203125" bestFit="1" customWidth="1"/>
    <col min="12" max="12" width="9" bestFit="1" customWidth="1"/>
    <col min="13" max="13" width="10.21875" bestFit="1" customWidth="1"/>
    <col min="14" max="14" width="10.44140625" style="9" bestFit="1" customWidth="1"/>
    <col min="15" max="15" width="13.44140625" bestFit="1" customWidth="1"/>
    <col min="16" max="16" width="7.44140625" style="2" bestFit="1" customWidth="1"/>
    <col min="17" max="17" width="6.5546875" bestFit="1" customWidth="1"/>
    <col min="18" max="18" width="11.77734375" style="2" bestFit="1" customWidth="1"/>
    <col min="19" max="19" width="7.44140625" style="9" bestFit="1" customWidth="1"/>
    <col min="20" max="20" width="6.88671875" style="8" bestFit="1" customWidth="1"/>
    <col min="21" max="21" width="9.77734375" customWidth="1"/>
    <col min="22" max="22" width="7.44140625" bestFit="1" customWidth="1"/>
    <col min="23" max="23" width="9" bestFit="1" customWidth="1"/>
    <col min="24" max="24" width="32.88671875" bestFit="1" customWidth="1"/>
    <col min="25" max="25" width="7.44140625" bestFit="1" customWidth="1"/>
    <col min="26" max="26" width="12.77734375" bestFit="1" customWidth="1"/>
    <col min="27" max="27" width="27.21875" bestFit="1" customWidth="1"/>
    <col min="28" max="29" width="6.44140625" customWidth="1"/>
    <col min="30" max="30" width="29.109375" bestFit="1" customWidth="1"/>
    <col min="31" max="31" width="4.33203125" customWidth="1"/>
    <col min="32" max="32" width="5.44140625" customWidth="1"/>
    <col min="33" max="33" width="19.21875" bestFit="1" customWidth="1"/>
    <col min="34" max="34" width="7.44140625" bestFit="1" customWidth="1"/>
    <col min="35" max="35" width="8.109375" customWidth="1"/>
    <col min="36" max="37" width="7.44140625" bestFit="1" customWidth="1"/>
    <col min="52" max="52" width="9.77734375" bestFit="1" customWidth="1"/>
  </cols>
  <sheetData>
    <row r="1" spans="1:52" s="10" customFormat="1">
      <c r="A1" s="11" t="s">
        <v>0</v>
      </c>
      <c r="B1" s="11" t="s">
        <v>13</v>
      </c>
      <c r="C1" s="11" t="s">
        <v>1</v>
      </c>
      <c r="D1" s="11" t="s">
        <v>2</v>
      </c>
      <c r="E1" s="11"/>
      <c r="F1" s="11" t="s">
        <v>3</v>
      </c>
      <c r="G1" s="12"/>
      <c r="H1" s="12" t="s">
        <v>0</v>
      </c>
      <c r="I1" s="12" t="s">
        <v>13</v>
      </c>
      <c r="J1" s="12" t="s">
        <v>1</v>
      </c>
      <c r="K1" s="12"/>
      <c r="L1" s="12" t="s">
        <v>2</v>
      </c>
      <c r="M1" s="12" t="s">
        <v>3</v>
      </c>
      <c r="N1" s="12"/>
      <c r="O1" s="12" t="s">
        <v>0</v>
      </c>
      <c r="P1" s="11" t="s">
        <v>13</v>
      </c>
      <c r="Q1" s="12" t="s">
        <v>19</v>
      </c>
      <c r="R1" s="11" t="s">
        <v>14</v>
      </c>
      <c r="S1" s="12"/>
      <c r="T1" s="13" t="s">
        <v>13</v>
      </c>
      <c r="U1" s="12" t="s">
        <v>6</v>
      </c>
      <c r="V1" s="12" t="s">
        <v>7</v>
      </c>
      <c r="W1" s="12" t="s">
        <v>15</v>
      </c>
      <c r="AA1"/>
      <c r="AB1" s="2"/>
      <c r="AC1"/>
      <c r="AD1"/>
      <c r="AE1"/>
      <c r="AM1"/>
      <c r="AN1"/>
      <c r="AO1"/>
      <c r="AP1"/>
      <c r="AQ1"/>
    </row>
    <row r="2" spans="1:52">
      <c r="A2" s="4" t="s">
        <v>4</v>
      </c>
      <c r="B2" s="4">
        <v>3</v>
      </c>
      <c r="C2" s="5">
        <v>78.0128864527682</v>
      </c>
      <c r="D2" s="5">
        <v>76.004040504924703</v>
      </c>
      <c r="E2" s="5"/>
      <c r="F2" s="5">
        <v>79.9255161834256</v>
      </c>
      <c r="H2" t="s">
        <v>10</v>
      </c>
      <c r="I2" s="3">
        <v>3</v>
      </c>
      <c r="J2" s="1">
        <v>2.0384440949234199</v>
      </c>
      <c r="K2" s="1"/>
      <c r="L2" s="1">
        <v>0.88419415257463296</v>
      </c>
      <c r="M2" s="1">
        <v>3.5786175480177902</v>
      </c>
      <c r="O2" t="s">
        <v>10</v>
      </c>
      <c r="P2" s="2">
        <v>1</v>
      </c>
      <c r="Q2" s="1">
        <v>2.2982338574047598</v>
      </c>
      <c r="R2" s="40">
        <f>SUM(Q2:Q4)</f>
        <v>5.3620910495065122</v>
      </c>
      <c r="T2" s="8">
        <v>1</v>
      </c>
      <c r="U2" s="35">
        <v>42.804714474204403</v>
      </c>
      <c r="V2" s="35">
        <v>45.884543757963698</v>
      </c>
      <c r="W2" s="1">
        <f>U2/V2</f>
        <v>0.93287872055555177</v>
      </c>
      <c r="Y2" t="s">
        <v>22</v>
      </c>
      <c r="Z2" t="s">
        <v>23</v>
      </c>
      <c r="AB2" s="2"/>
      <c r="AC2" s="6"/>
      <c r="AD2" s="6"/>
      <c r="AE2" s="6"/>
      <c r="AO2" s="6"/>
      <c r="AP2" s="6"/>
      <c r="AQ2" s="6"/>
      <c r="AZ2" s="35"/>
    </row>
    <row r="3" spans="1:52">
      <c r="A3" s="4" t="s">
        <v>5</v>
      </c>
      <c r="B3" s="4">
        <v>3</v>
      </c>
      <c r="C3" s="5">
        <v>82.118827845019098</v>
      </c>
      <c r="D3" s="5">
        <v>80.004253163078602</v>
      </c>
      <c r="E3" s="5"/>
      <c r="F3" s="5">
        <v>84.132122298342793</v>
      </c>
      <c r="H3" t="s">
        <v>11</v>
      </c>
      <c r="I3" s="3">
        <v>3</v>
      </c>
      <c r="J3" s="1">
        <v>2.3795041294646002</v>
      </c>
      <c r="K3" s="1"/>
      <c r="L3" s="1">
        <v>0.87205833259512699</v>
      </c>
      <c r="M3" s="1">
        <v>5.7961361458152396</v>
      </c>
      <c r="O3" t="s">
        <v>11</v>
      </c>
      <c r="P3" s="2">
        <v>1</v>
      </c>
      <c r="Q3" s="1">
        <v>2.6070885703518401</v>
      </c>
      <c r="R3" s="40"/>
      <c r="T3" s="8">
        <v>2</v>
      </c>
      <c r="U3" s="35">
        <v>43.264237796745697</v>
      </c>
      <c r="V3" s="35">
        <v>46.417262559134201</v>
      </c>
      <c r="W3" s="1">
        <f t="shared" ref="W3:W6" si="0">U3/V3</f>
        <v>0.93207215185575309</v>
      </c>
      <c r="Y3">
        <v>12</v>
      </c>
      <c r="Z3">
        <v>15</v>
      </c>
      <c r="AB3" s="2"/>
      <c r="AC3" s="6"/>
      <c r="AD3" s="6"/>
      <c r="AE3" s="6"/>
      <c r="AO3" s="6"/>
      <c r="AP3" s="6"/>
      <c r="AQ3" s="6"/>
      <c r="AZ3" s="35"/>
    </row>
    <row r="4" spans="1:52">
      <c r="A4" s="4" t="s">
        <v>6</v>
      </c>
      <c r="B4" s="4">
        <v>3</v>
      </c>
      <c r="C4" s="5">
        <v>43.728142696585302</v>
      </c>
      <c r="D4" s="5">
        <v>40.709954194927903</v>
      </c>
      <c r="E4" s="5"/>
      <c r="F4" s="5">
        <v>46.783438933793001</v>
      </c>
      <c r="H4" t="s">
        <v>12</v>
      </c>
      <c r="I4" s="3">
        <v>3</v>
      </c>
      <c r="J4" s="1">
        <v>0.34736225333697601</v>
      </c>
      <c r="K4" s="1"/>
      <c r="L4" s="1">
        <v>7.9687285512482095E-2</v>
      </c>
      <c r="M4" s="1">
        <v>1.1594404145399799</v>
      </c>
      <c r="O4" t="s">
        <v>12</v>
      </c>
      <c r="P4" s="2">
        <v>1</v>
      </c>
      <c r="Q4" s="1">
        <v>0.45676862174991201</v>
      </c>
      <c r="R4" s="40"/>
      <c r="T4" s="8">
        <v>3</v>
      </c>
      <c r="U4" s="35">
        <v>43.728142696585302</v>
      </c>
      <c r="V4" s="35">
        <v>47.034365870247903</v>
      </c>
      <c r="W4" s="1">
        <f t="shared" si="0"/>
        <v>0.9297062241089129</v>
      </c>
      <c r="Y4">
        <v>15</v>
      </c>
      <c r="Z4">
        <v>63</v>
      </c>
      <c r="AB4" s="2"/>
      <c r="AC4" s="6"/>
      <c r="AD4" s="6"/>
      <c r="AE4" s="6"/>
      <c r="AO4" s="6"/>
      <c r="AP4" s="6"/>
      <c r="AQ4" s="6"/>
      <c r="AZ4" s="35"/>
    </row>
    <row r="5" spans="1:52">
      <c r="A5" s="4" t="s">
        <v>7</v>
      </c>
      <c r="B5" s="4">
        <v>3</v>
      </c>
      <c r="C5" s="5">
        <v>47.034365870247903</v>
      </c>
      <c r="D5" s="5">
        <v>42.489414270605899</v>
      </c>
      <c r="E5" s="5"/>
      <c r="F5" s="5">
        <v>51.607445473869902</v>
      </c>
      <c r="H5" t="s">
        <v>14</v>
      </c>
      <c r="I5" s="3">
        <v>3</v>
      </c>
      <c r="J5" s="1">
        <f>SUM(J2:J4)</f>
        <v>4.7653104777249959</v>
      </c>
      <c r="K5" s="1"/>
      <c r="L5" s="1">
        <f t="shared" ref="L5:M5" si="1">SUM(L2:L4)</f>
        <v>1.835939770682242</v>
      </c>
      <c r="M5" s="1">
        <f t="shared" si="1"/>
        <v>10.53419410837301</v>
      </c>
      <c r="O5" t="s">
        <v>10</v>
      </c>
      <c r="P5" s="2">
        <v>2</v>
      </c>
      <c r="Q5" s="1">
        <v>2.3719033666417801</v>
      </c>
      <c r="R5" s="40">
        <f>SUM(Q5:Q7)</f>
        <v>5.5064388828247681</v>
      </c>
      <c r="T5" s="8">
        <v>4</v>
      </c>
      <c r="U5" s="35">
        <v>43.230499807393201</v>
      </c>
      <c r="V5" s="35">
        <v>46.3976441778401</v>
      </c>
      <c r="W5" s="1">
        <f t="shared" si="0"/>
        <v>0.93173911247934538</v>
      </c>
      <c r="Y5">
        <v>18</v>
      </c>
      <c r="Z5">
        <v>135</v>
      </c>
      <c r="AB5" s="2"/>
      <c r="AC5" s="6"/>
      <c r="AD5" s="6"/>
      <c r="AE5" s="6"/>
      <c r="AO5" s="35"/>
      <c r="AP5" s="6"/>
      <c r="AQ5" s="6"/>
      <c r="AZ5" s="35"/>
    </row>
    <row r="6" spans="1:52">
      <c r="A6" s="4" t="s">
        <v>8</v>
      </c>
      <c r="B6" s="4">
        <v>3</v>
      </c>
      <c r="C6" s="5">
        <v>51.7378024572727</v>
      </c>
      <c r="D6" s="5">
        <v>46.738355697666499</v>
      </c>
      <c r="E6" s="5"/>
      <c r="F6" s="5">
        <v>56.768190021256899</v>
      </c>
      <c r="H6" t="s">
        <v>15</v>
      </c>
      <c r="I6" s="3">
        <v>3</v>
      </c>
      <c r="J6" s="7">
        <v>0.93</v>
      </c>
      <c r="K6" s="7"/>
      <c r="O6" t="s">
        <v>11</v>
      </c>
      <c r="P6" s="2">
        <v>2</v>
      </c>
      <c r="Q6" s="1">
        <v>2.7238811920816901</v>
      </c>
      <c r="R6" s="40"/>
      <c r="T6" s="8">
        <v>5</v>
      </c>
      <c r="U6" s="35">
        <v>44.245095824701302</v>
      </c>
      <c r="V6" s="35">
        <v>47.620642231839398</v>
      </c>
      <c r="W6" s="1">
        <f t="shared" si="0"/>
        <v>0.92911589913667336</v>
      </c>
      <c r="Y6">
        <v>21</v>
      </c>
      <c r="Z6">
        <v>137</v>
      </c>
      <c r="AB6" s="2"/>
      <c r="AC6" s="6"/>
      <c r="AD6" s="6"/>
      <c r="AE6" s="6"/>
      <c r="AK6" s="35"/>
      <c r="AL6" s="35"/>
      <c r="AM6" s="35"/>
      <c r="AO6" s="35"/>
      <c r="AP6" s="6"/>
      <c r="AQ6" s="6"/>
      <c r="AZ6" s="35"/>
    </row>
    <row r="7" spans="1:52">
      <c r="A7" s="4" t="s">
        <v>9</v>
      </c>
      <c r="B7" s="4">
        <v>3</v>
      </c>
      <c r="C7" s="5">
        <v>42.330929283223099</v>
      </c>
      <c r="D7" s="5">
        <v>38.240472843545298</v>
      </c>
      <c r="E7" s="5"/>
      <c r="F7" s="5">
        <v>46.446700926482897</v>
      </c>
      <c r="L7" s="35"/>
      <c r="O7" t="s">
        <v>12</v>
      </c>
      <c r="P7" s="2">
        <v>2</v>
      </c>
      <c r="Q7" s="1">
        <v>0.41065432410129799</v>
      </c>
      <c r="R7" s="40"/>
      <c r="Y7">
        <v>24</v>
      </c>
      <c r="Z7">
        <v>135</v>
      </c>
      <c r="AB7" s="2"/>
      <c r="AC7" s="6"/>
      <c r="AD7" s="6"/>
      <c r="AE7" s="6"/>
      <c r="AK7" s="35"/>
      <c r="AL7" s="35"/>
      <c r="AM7" s="35"/>
      <c r="AO7" s="35"/>
      <c r="AP7" s="6"/>
      <c r="AQ7" s="6"/>
    </row>
    <row r="8" spans="1:52">
      <c r="O8" t="s">
        <v>10</v>
      </c>
      <c r="P8" s="2">
        <v>3</v>
      </c>
      <c r="Q8" s="1">
        <v>2.0384440949234199</v>
      </c>
      <c r="R8" s="40">
        <f>SUM(Q8:Q10)</f>
        <v>4.7653104777249959</v>
      </c>
      <c r="Y8">
        <v>27</v>
      </c>
      <c r="Z8">
        <v>156</v>
      </c>
      <c r="AB8" s="2"/>
      <c r="AC8" s="6"/>
      <c r="AD8" s="6"/>
      <c r="AE8" s="6"/>
      <c r="AK8" s="35"/>
      <c r="AL8" s="35"/>
      <c r="AM8" s="35"/>
      <c r="AO8" s="35"/>
      <c r="AP8" s="6"/>
      <c r="AQ8" s="6"/>
    </row>
    <row r="9" spans="1:52">
      <c r="A9" s="3" t="s">
        <v>0</v>
      </c>
      <c r="B9" s="3" t="s">
        <v>13</v>
      </c>
      <c r="C9" s="3" t="s">
        <v>16</v>
      </c>
      <c r="D9" s="3"/>
      <c r="E9" s="3" t="s">
        <v>17</v>
      </c>
      <c r="F9" s="3" t="s">
        <v>18</v>
      </c>
      <c r="H9" s="39" t="s">
        <v>0</v>
      </c>
      <c r="I9" s="39" t="s">
        <v>13</v>
      </c>
      <c r="J9" s="39" t="s">
        <v>16</v>
      </c>
      <c r="K9" s="39"/>
      <c r="L9" s="39" t="s">
        <v>17</v>
      </c>
      <c r="M9" s="39" t="s">
        <v>18</v>
      </c>
      <c r="O9" t="s">
        <v>11</v>
      </c>
      <c r="P9" s="2">
        <v>3</v>
      </c>
      <c r="Q9" s="1">
        <v>2.3795041294646002</v>
      </c>
      <c r="R9" s="40"/>
      <c r="T9" s="14" t="s">
        <v>13</v>
      </c>
      <c r="U9" s="15" t="s">
        <v>20</v>
      </c>
      <c r="V9" s="15" t="s">
        <v>21</v>
      </c>
      <c r="Y9">
        <v>30</v>
      </c>
      <c r="Z9">
        <v>143</v>
      </c>
      <c r="AB9" s="2"/>
      <c r="AC9" s="6"/>
      <c r="AD9" s="6"/>
      <c r="AE9" s="6"/>
      <c r="AK9" s="35"/>
      <c r="AL9" s="35"/>
      <c r="AM9" s="35"/>
      <c r="AO9" s="6"/>
      <c r="AP9" s="6"/>
      <c r="AQ9" s="6"/>
    </row>
    <row r="10" spans="1:52">
      <c r="A10" s="3" t="s">
        <v>5</v>
      </c>
      <c r="B10" s="3">
        <v>3</v>
      </c>
      <c r="C10" s="36">
        <f>AVERAGE(C2:F2)</f>
        <v>77.980814380372834</v>
      </c>
      <c r="D10" s="37" t="s">
        <v>69</v>
      </c>
      <c r="E10" s="38">
        <f>_xlfn.STDEV.P(C2:F2)</f>
        <v>1.6010963613806048</v>
      </c>
      <c r="F10" s="39" t="str">
        <f>ROUND(C10,2)&amp;D10&amp;ROUND(E10,2)</f>
        <v>77.98±1.6</v>
      </c>
      <c r="H10" s="39" t="s">
        <v>10</v>
      </c>
      <c r="I10" s="39">
        <v>3</v>
      </c>
      <c r="J10" s="36">
        <f>AVERAGE(J2:M2)</f>
        <v>2.1670852651719477</v>
      </c>
      <c r="K10" s="37" t="s">
        <v>69</v>
      </c>
      <c r="L10" s="38">
        <f>_xlfn.STDEV.P(J2:M2)</f>
        <v>1.1037483926723037</v>
      </c>
      <c r="M10" s="39" t="str">
        <f>ROUND(J10,2)&amp;K10&amp;ROUND(L10,2)</f>
        <v>2.17±1.1</v>
      </c>
      <c r="O10" t="s">
        <v>12</v>
      </c>
      <c r="P10" s="2">
        <v>3</v>
      </c>
      <c r="Q10" s="1">
        <v>0.34736225333697601</v>
      </c>
      <c r="R10" s="40"/>
      <c r="T10" s="8">
        <v>1</v>
      </c>
      <c r="U10" s="2">
        <v>67</v>
      </c>
      <c r="V10" s="2">
        <v>67</v>
      </c>
      <c r="Y10">
        <v>33</v>
      </c>
      <c r="Z10">
        <v>80</v>
      </c>
      <c r="AB10" s="2"/>
      <c r="AC10" s="6"/>
      <c r="AD10" s="6"/>
      <c r="AE10" s="6"/>
      <c r="AK10" s="35"/>
      <c r="AL10" s="35"/>
      <c r="AM10" s="35"/>
      <c r="AO10" s="6"/>
      <c r="AP10" s="6"/>
      <c r="AQ10" s="6"/>
    </row>
    <row r="11" spans="1:52">
      <c r="A11" s="3" t="s">
        <v>6</v>
      </c>
      <c r="B11" s="3">
        <v>3</v>
      </c>
      <c r="C11" s="36">
        <f t="shared" ref="C11:C14" si="2">AVERAGE(C3:F3)</f>
        <v>82.085067768813488</v>
      </c>
      <c r="D11" s="37" t="s">
        <v>69</v>
      </c>
      <c r="E11" s="39">
        <v>4.83</v>
      </c>
      <c r="F11" s="39" t="str">
        <f t="shared" ref="F11:F15" si="3">ROUND(C11,2)&amp;D11&amp;ROUND(E11,2)</f>
        <v>82.09±4.83</v>
      </c>
      <c r="H11" s="39" t="s">
        <v>12</v>
      </c>
      <c r="I11" s="39">
        <v>3</v>
      </c>
      <c r="J11" s="36">
        <f>AVERAGE(J3:M3)</f>
        <v>3.0158995359583223</v>
      </c>
      <c r="K11" s="37" t="s">
        <v>69</v>
      </c>
      <c r="L11" s="39">
        <v>4.83</v>
      </c>
      <c r="M11" s="39" t="str">
        <f t="shared" ref="M11" si="4">ROUND(J11,2)&amp;K11&amp;ROUND(L11,2)</f>
        <v>3.02±4.83</v>
      </c>
      <c r="O11" t="s">
        <v>10</v>
      </c>
      <c r="P11" s="2">
        <v>4</v>
      </c>
      <c r="Q11" s="1">
        <v>2.90966179911804</v>
      </c>
      <c r="R11" s="40">
        <f>SUM(Q11:Q13)</f>
        <v>6.6621213006542224</v>
      </c>
      <c r="T11" s="8">
        <v>2</v>
      </c>
      <c r="U11" s="2">
        <v>67</v>
      </c>
      <c r="V11" s="2">
        <v>67</v>
      </c>
      <c r="Y11">
        <v>36</v>
      </c>
      <c r="Z11">
        <v>88</v>
      </c>
      <c r="AB11" s="2"/>
      <c r="AC11" s="6"/>
      <c r="AD11" s="6"/>
      <c r="AE11" s="6"/>
      <c r="AK11" s="35"/>
      <c r="AL11" s="35"/>
      <c r="AM11" s="35"/>
      <c r="AO11" s="6"/>
      <c r="AP11" s="6"/>
      <c r="AQ11" s="6"/>
    </row>
    <row r="12" spans="1:52">
      <c r="A12" s="3" t="s">
        <v>4</v>
      </c>
      <c r="B12" s="3">
        <v>3</v>
      </c>
      <c r="C12" s="36">
        <f t="shared" si="2"/>
        <v>43.740511941768737</v>
      </c>
      <c r="D12" s="37" t="s">
        <v>69</v>
      </c>
      <c r="E12" s="39">
        <v>6.18</v>
      </c>
      <c r="F12" s="39" t="str">
        <f t="shared" si="3"/>
        <v>43.74±6.18</v>
      </c>
      <c r="H12" s="39" t="s">
        <v>11</v>
      </c>
      <c r="I12" s="39">
        <v>3</v>
      </c>
      <c r="J12" s="36">
        <f>AVERAGE(J4:M4)</f>
        <v>0.528829984463146</v>
      </c>
      <c r="K12" s="37" t="s">
        <v>69</v>
      </c>
      <c r="L12" s="39">
        <v>6.18</v>
      </c>
      <c r="M12" s="39" t="str">
        <f>ROUND(J12,2)&amp;K12&amp;ROUND(L12,2)</f>
        <v>0.53±6.18</v>
      </c>
      <c r="O12" t="s">
        <v>11</v>
      </c>
      <c r="P12" s="2">
        <v>4</v>
      </c>
      <c r="Q12" s="1">
        <v>3.2606840466603799</v>
      </c>
      <c r="R12" s="40"/>
      <c r="T12" s="8">
        <v>3</v>
      </c>
      <c r="U12" s="2">
        <v>67</v>
      </c>
      <c r="V12" s="2">
        <v>67</v>
      </c>
      <c r="Y12">
        <v>39</v>
      </c>
      <c r="Z12">
        <v>67</v>
      </c>
      <c r="AB12" s="2"/>
      <c r="AC12" s="6"/>
      <c r="AD12" s="6"/>
      <c r="AE12" s="6"/>
      <c r="AO12" s="6"/>
      <c r="AP12" s="6"/>
      <c r="AQ12" s="6"/>
    </row>
    <row r="13" spans="1:52">
      <c r="A13" s="3" t="s">
        <v>7</v>
      </c>
      <c r="B13" s="3">
        <v>3</v>
      </c>
      <c r="C13" s="36">
        <f t="shared" si="2"/>
        <v>47.043741871574561</v>
      </c>
      <c r="D13" s="37" t="s">
        <v>69</v>
      </c>
      <c r="E13" s="38">
        <f t="shared" ref="E13" si="5">_xlfn.STDEV.P(C5:F5)</f>
        <v>3.7224265551720124</v>
      </c>
      <c r="F13" s="39" t="str">
        <f t="shared" si="3"/>
        <v>47.04±3.72</v>
      </c>
      <c r="O13" t="s">
        <v>12</v>
      </c>
      <c r="P13" s="2">
        <v>4</v>
      </c>
      <c r="Q13" s="1">
        <v>0.49177545487580199</v>
      </c>
      <c r="R13" s="40"/>
      <c r="T13" s="8">
        <v>4</v>
      </c>
      <c r="U13" s="2">
        <v>67</v>
      </c>
      <c r="V13" s="2">
        <v>67</v>
      </c>
      <c r="Y13">
        <v>42</v>
      </c>
      <c r="Z13">
        <v>39</v>
      </c>
      <c r="AB13" s="2"/>
      <c r="AC13" s="6"/>
      <c r="AD13" s="6"/>
      <c r="AE13" s="6"/>
      <c r="AO13" s="6"/>
      <c r="AP13" s="6"/>
      <c r="AQ13" s="6"/>
    </row>
    <row r="14" spans="1:52">
      <c r="A14" s="3" t="s">
        <v>9</v>
      </c>
      <c r="B14" s="3">
        <v>3</v>
      </c>
      <c r="C14" s="36">
        <f t="shared" si="2"/>
        <v>51.74811605873203</v>
      </c>
      <c r="D14" s="37" t="s">
        <v>69</v>
      </c>
      <c r="E14" s="39">
        <v>4.83</v>
      </c>
      <c r="F14" s="39" t="str">
        <f t="shared" si="3"/>
        <v>51.75±4.83</v>
      </c>
      <c r="I14" s="35"/>
      <c r="O14" t="s">
        <v>10</v>
      </c>
      <c r="P14" s="2">
        <v>5</v>
      </c>
      <c r="Q14" s="1">
        <v>2.2201916413978302</v>
      </c>
      <c r="R14" s="40">
        <f>SUM(Q14:Q16)</f>
        <v>5.081076741407359</v>
      </c>
      <c r="T14" s="8">
        <v>5</v>
      </c>
      <c r="U14" s="2">
        <v>67</v>
      </c>
      <c r="V14" s="2">
        <v>67</v>
      </c>
      <c r="Y14">
        <v>45</v>
      </c>
      <c r="Z14">
        <v>36</v>
      </c>
      <c r="AB14" s="2"/>
      <c r="AC14" s="6"/>
      <c r="AD14" s="6"/>
      <c r="AE14" s="6"/>
      <c r="AO14" s="6"/>
      <c r="AP14" s="6"/>
      <c r="AQ14" s="6"/>
    </row>
    <row r="15" spans="1:52">
      <c r="A15" s="3" t="s">
        <v>8</v>
      </c>
      <c r="B15" s="3">
        <v>3</v>
      </c>
      <c r="C15" s="36">
        <f>AVERAGE(C7:F7)</f>
        <v>42.339367684417091</v>
      </c>
      <c r="D15" s="37" t="s">
        <v>69</v>
      </c>
      <c r="E15" s="39">
        <v>6.18</v>
      </c>
      <c r="F15" s="39" t="str">
        <f t="shared" si="3"/>
        <v>42.34±6.18</v>
      </c>
      <c r="I15" s="35"/>
      <c r="O15" t="s">
        <v>11</v>
      </c>
      <c r="P15" s="2">
        <v>5</v>
      </c>
      <c r="Q15" s="1">
        <v>2.42982444468357</v>
      </c>
      <c r="R15" s="40"/>
      <c r="Y15">
        <v>48</v>
      </c>
      <c r="Z15">
        <v>28</v>
      </c>
      <c r="AB15" s="2"/>
      <c r="AC15" s="6"/>
      <c r="AD15" s="6"/>
      <c r="AE15" s="6"/>
      <c r="AO15" s="6"/>
      <c r="AP15" s="6"/>
      <c r="AQ15" s="6"/>
    </row>
    <row r="16" spans="1:52">
      <c r="A16"/>
      <c r="B16"/>
      <c r="C16"/>
      <c r="I16" s="35"/>
      <c r="O16" t="s">
        <v>12</v>
      </c>
      <c r="P16" s="2">
        <v>5</v>
      </c>
      <c r="Q16" s="1">
        <v>0.431060655325958</v>
      </c>
      <c r="R16" s="40"/>
      <c r="Y16">
        <v>51</v>
      </c>
      <c r="Z16">
        <v>17</v>
      </c>
      <c r="AB16" s="2"/>
      <c r="AC16" s="6"/>
      <c r="AD16" s="6"/>
      <c r="AE16" s="6"/>
      <c r="AO16" s="6"/>
      <c r="AP16" s="6"/>
      <c r="AQ16" s="6"/>
    </row>
    <row r="17" spans="1:43">
      <c r="D17"/>
      <c r="E17"/>
      <c r="F17"/>
      <c r="G17"/>
      <c r="N17"/>
      <c r="R17"/>
      <c r="S17"/>
      <c r="Y17">
        <v>54</v>
      </c>
      <c r="Z17">
        <v>13</v>
      </c>
      <c r="AB17">
        <v>1177</v>
      </c>
      <c r="AC17">
        <v>1177</v>
      </c>
      <c r="AD17">
        <v>1177</v>
      </c>
      <c r="AO17" s="6"/>
      <c r="AP17" s="6"/>
      <c r="AQ17" s="6"/>
    </row>
    <row r="18" spans="1:43">
      <c r="D18"/>
      <c r="E18"/>
      <c r="F18"/>
      <c r="G18"/>
      <c r="N18"/>
      <c r="R18"/>
      <c r="S18"/>
      <c r="Y18">
        <v>57</v>
      </c>
      <c r="Z18">
        <v>5</v>
      </c>
      <c r="AB18">
        <v>83</v>
      </c>
      <c r="AC18">
        <v>119</v>
      </c>
      <c r="AD18">
        <v>225</v>
      </c>
      <c r="AO18" s="6"/>
      <c r="AP18" s="6"/>
      <c r="AQ18" s="6"/>
    </row>
    <row r="19" spans="1:43">
      <c r="A19" s="16" t="s">
        <v>0</v>
      </c>
      <c r="B19" s="18" t="s">
        <v>70</v>
      </c>
      <c r="C19" s="18" t="s">
        <v>29</v>
      </c>
      <c r="D19" s="18" t="s">
        <v>30</v>
      </c>
      <c r="E19" s="18" t="s">
        <v>31</v>
      </c>
      <c r="F19" s="18" t="s">
        <v>32</v>
      </c>
      <c r="G19" s="18" t="s">
        <v>29</v>
      </c>
      <c r="H19" s="18" t="s">
        <v>30</v>
      </c>
      <c r="I19" s="18" t="s">
        <v>31</v>
      </c>
      <c r="J19" s="18"/>
      <c r="K19" s="18" t="s">
        <v>32</v>
      </c>
      <c r="M19" s="19" t="s">
        <v>0</v>
      </c>
      <c r="N19" s="20" t="s">
        <v>24</v>
      </c>
      <c r="O19" s="20" t="s">
        <v>25</v>
      </c>
      <c r="P19" s="20" t="s">
        <v>26</v>
      </c>
      <c r="Q19" s="20" t="s">
        <v>27</v>
      </c>
      <c r="R19" s="20" t="s">
        <v>28</v>
      </c>
      <c r="S19" s="20" t="s">
        <v>29</v>
      </c>
      <c r="T19" s="20" t="s">
        <v>30</v>
      </c>
      <c r="U19" s="20" t="s">
        <v>31</v>
      </c>
      <c r="V19" s="20" t="s">
        <v>32</v>
      </c>
      <c r="Y19">
        <v>60</v>
      </c>
      <c r="Z19">
        <v>7</v>
      </c>
      <c r="AN19" s="6"/>
      <c r="AO19" s="6"/>
      <c r="AP19" s="6"/>
    </row>
    <row r="20" spans="1:43">
      <c r="A20" s="16" t="s">
        <v>4</v>
      </c>
      <c r="B20" s="17">
        <v>78.0128864527682</v>
      </c>
      <c r="C20" s="17">
        <v>76.039266171358605</v>
      </c>
      <c r="D20" s="17">
        <v>77.008383729472399</v>
      </c>
      <c r="E20" s="17">
        <v>77.046131012829804</v>
      </c>
      <c r="F20" s="17">
        <v>79.004496991209507</v>
      </c>
      <c r="G20" s="17">
        <f>B20-C20</f>
        <v>1.9736202814095947</v>
      </c>
      <c r="H20" s="17">
        <f>B20-D20</f>
        <v>1.0045027232958006</v>
      </c>
      <c r="I20" s="17">
        <f>B20-E20</f>
        <v>0.96675543993839597</v>
      </c>
      <c r="J20" s="17"/>
      <c r="K20" s="17">
        <f>B20-F20</f>
        <v>-0.9916105384413072</v>
      </c>
      <c r="M20" s="19" t="s">
        <v>10</v>
      </c>
      <c r="N20" s="21">
        <v>2.0384440949234199</v>
      </c>
      <c r="O20" s="21">
        <v>2.2982338574047598</v>
      </c>
      <c r="P20" s="21">
        <v>2.3719033666417801</v>
      </c>
      <c r="Q20" s="21">
        <v>2.90966179911804</v>
      </c>
      <c r="R20" s="21">
        <v>2.2201916413978302</v>
      </c>
      <c r="S20" s="21">
        <f>N20-O20</f>
        <v>-0.25978976248133989</v>
      </c>
      <c r="T20" s="21">
        <f>N20-P20</f>
        <v>-0.33345927171836021</v>
      </c>
      <c r="U20" s="21">
        <f>N20-Q20</f>
        <v>-0.87121770419462008</v>
      </c>
      <c r="V20" s="21">
        <f>N20-R20</f>
        <v>-0.18174754647441027</v>
      </c>
      <c r="Y20">
        <v>63</v>
      </c>
      <c r="Z20">
        <v>7</v>
      </c>
      <c r="AB20" s="35">
        <f>(AB18/AB17)*100</f>
        <v>7.0518266779949021</v>
      </c>
      <c r="AC20" s="35">
        <f>(AC18/AC17)*100</f>
        <v>10.110450297366185</v>
      </c>
      <c r="AD20" s="35">
        <f>(AD18/AD17)*100</f>
        <v>19.116397621070519</v>
      </c>
      <c r="AN20" s="6"/>
      <c r="AO20" s="6"/>
      <c r="AP20" s="6"/>
    </row>
    <row r="21" spans="1:43">
      <c r="A21" s="16" t="s">
        <v>5</v>
      </c>
      <c r="B21" s="17">
        <v>82.118827845019098</v>
      </c>
      <c r="C21" s="17">
        <v>80.041332811956394</v>
      </c>
      <c r="D21" s="17">
        <v>81.061456557339298</v>
      </c>
      <c r="E21" s="17">
        <v>81.101190539820905</v>
      </c>
      <c r="F21" s="17">
        <v>83.162628411799403</v>
      </c>
      <c r="G21" s="17">
        <f>B21-C21</f>
        <v>2.0774950330627036</v>
      </c>
      <c r="H21" s="17">
        <f>B21-D21</f>
        <v>1.0573712876797998</v>
      </c>
      <c r="I21" s="17">
        <f>B21-E21</f>
        <v>1.0176373051981926</v>
      </c>
      <c r="J21" s="17"/>
      <c r="K21" s="17">
        <f>B21-F21</f>
        <v>-1.0438005667803054</v>
      </c>
      <c r="M21" s="19" t="s">
        <v>11</v>
      </c>
      <c r="N21" s="21">
        <v>2.3795041294646002</v>
      </c>
      <c r="O21" s="21">
        <v>2.6070885703518401</v>
      </c>
      <c r="P21" s="21">
        <v>2.7238811920816901</v>
      </c>
      <c r="Q21" s="21">
        <v>3.2606840466603799</v>
      </c>
      <c r="R21" s="21">
        <v>2.42982444468357</v>
      </c>
      <c r="S21" s="21">
        <f t="shared" ref="S21:S22" si="6">N21-O21</f>
        <v>-0.22758444088723984</v>
      </c>
      <c r="T21" s="21">
        <f t="shared" ref="T21:T22" si="7">N21-P21</f>
        <v>-0.34437706261708989</v>
      </c>
      <c r="U21" s="21">
        <f t="shared" ref="U21:U22" si="8">N21-Q21</f>
        <v>-0.8811799171957797</v>
      </c>
      <c r="V21" s="21">
        <f t="shared" ref="V21:V22" si="9">N21-R21</f>
        <v>-5.0320315218969736E-2</v>
      </c>
      <c r="Y21">
        <v>66</v>
      </c>
      <c r="Z21">
        <v>3</v>
      </c>
      <c r="AN21" s="6"/>
      <c r="AO21" s="6"/>
      <c r="AP21" s="6"/>
    </row>
    <row r="22" spans="1:43">
      <c r="A22" s="16" t="s">
        <v>6</v>
      </c>
      <c r="B22" s="17">
        <v>43.728142696585302</v>
      </c>
      <c r="C22" s="17">
        <v>42.804714474204403</v>
      </c>
      <c r="D22" s="17">
        <v>43.264237796745697</v>
      </c>
      <c r="E22" s="17">
        <v>43.230499807393201</v>
      </c>
      <c r="F22" s="17">
        <v>44.245095824701302</v>
      </c>
      <c r="G22" s="17">
        <f>B22-C22</f>
        <v>0.92342822238089894</v>
      </c>
      <c r="H22" s="17">
        <f>B22-D22</f>
        <v>0.46390489983960492</v>
      </c>
      <c r="I22" s="17">
        <f>B22-E22</f>
        <v>0.49764288919210031</v>
      </c>
      <c r="J22" s="17"/>
      <c r="K22" s="17">
        <f>B22-F22</f>
        <v>-0.51695312811600047</v>
      </c>
      <c r="M22" s="19" t="s">
        <v>12</v>
      </c>
      <c r="N22" s="21">
        <v>0.34736225333697601</v>
      </c>
      <c r="O22" s="21">
        <v>0.45676862174991201</v>
      </c>
      <c r="P22" s="21">
        <v>0.41065432410129799</v>
      </c>
      <c r="Q22" s="21">
        <v>0.49177545487580199</v>
      </c>
      <c r="R22" s="21">
        <v>0.431060655325958</v>
      </c>
      <c r="S22" s="21">
        <f t="shared" si="6"/>
        <v>-0.10940636841293599</v>
      </c>
      <c r="T22" s="21">
        <f t="shared" si="7"/>
        <v>-6.3292070764321973E-2</v>
      </c>
      <c r="U22" s="21">
        <f t="shared" si="8"/>
        <v>-0.14441320153882597</v>
      </c>
      <c r="V22" s="21">
        <f t="shared" si="9"/>
        <v>-8.3698401988981985E-2</v>
      </c>
      <c r="Y22">
        <v>69</v>
      </c>
      <c r="Z22">
        <v>2</v>
      </c>
      <c r="AN22" s="6"/>
      <c r="AO22" s="6"/>
      <c r="AP22" s="6"/>
    </row>
    <row r="23" spans="1:43">
      <c r="A23" s="16" t="s">
        <v>7</v>
      </c>
      <c r="B23" s="17">
        <v>47.034365870247903</v>
      </c>
      <c r="C23" s="17">
        <v>45.884543757963698</v>
      </c>
      <c r="D23" s="17">
        <v>46.417262559134201</v>
      </c>
      <c r="E23" s="17">
        <v>46.3976441778401</v>
      </c>
      <c r="F23" s="17">
        <v>47.620642231839398</v>
      </c>
      <c r="G23" s="17">
        <f>B23-C23</f>
        <v>1.1498221122842054</v>
      </c>
      <c r="H23" s="17">
        <f>B23-D23</f>
        <v>0.61710331111370209</v>
      </c>
      <c r="I23" s="17">
        <f>B23-E23</f>
        <v>0.63672169240780363</v>
      </c>
      <c r="J23" s="17"/>
      <c r="K23" s="17">
        <f>B23-F23</f>
        <v>-0.58627636159149432</v>
      </c>
      <c r="N23"/>
      <c r="O23" s="2"/>
      <c r="P23"/>
      <c r="R23"/>
      <c r="S23" s="8"/>
      <c r="T23"/>
      <c r="Y23">
        <v>78</v>
      </c>
      <c r="Z23">
        <v>1</v>
      </c>
      <c r="AN23" s="6"/>
      <c r="AO23" s="6"/>
      <c r="AP23" s="6"/>
    </row>
    <row r="24" spans="1:43">
      <c r="A24" s="16" t="s">
        <v>8</v>
      </c>
      <c r="B24" s="17">
        <v>51.7378024572727</v>
      </c>
      <c r="C24" s="17">
        <v>50.472998133760001</v>
      </c>
      <c r="D24" s="17">
        <v>51.058988815047698</v>
      </c>
      <c r="E24" s="17">
        <v>51.0374085956241</v>
      </c>
      <c r="F24" s="17">
        <v>52.382706455023303</v>
      </c>
      <c r="G24" s="17">
        <f>B24-C24</f>
        <v>1.2648043235126991</v>
      </c>
      <c r="H24" s="17">
        <f>B24-D24</f>
        <v>0.67881364222500196</v>
      </c>
      <c r="I24" s="17">
        <f>B24-E24</f>
        <v>0.70039386164859962</v>
      </c>
      <c r="J24" s="17"/>
      <c r="K24" s="17">
        <f>B24-F24</f>
        <v>-0.64490399775060325</v>
      </c>
      <c r="N24"/>
      <c r="O24" s="2"/>
      <c r="P24"/>
      <c r="R24"/>
      <c r="S24" s="8"/>
      <c r="T24"/>
      <c r="AN24" s="6"/>
      <c r="AO24" s="6"/>
      <c r="AP24" s="6"/>
    </row>
    <row r="25" spans="1:43">
      <c r="A25" s="16" t="s">
        <v>9</v>
      </c>
      <c r="B25" s="17">
        <v>42.330929283223099</v>
      </c>
      <c r="C25" s="17">
        <v>41.296089382167303</v>
      </c>
      <c r="D25" s="17">
        <v>41.775536303220797</v>
      </c>
      <c r="E25" s="17">
        <v>41.757879760056099</v>
      </c>
      <c r="F25" s="17">
        <v>42.858578008655499</v>
      </c>
      <c r="G25" s="17">
        <f>B25-C25</f>
        <v>1.0348399010557969</v>
      </c>
      <c r="H25" s="17">
        <f>B25-D25</f>
        <v>0.55539298000230275</v>
      </c>
      <c r="I25" s="17">
        <f>B25-E25</f>
        <v>0.57304952316700053</v>
      </c>
      <c r="J25" s="17"/>
      <c r="K25" s="17">
        <f>B25-F25</f>
        <v>-0.5276487254323996</v>
      </c>
      <c r="N25"/>
      <c r="O25" s="2"/>
      <c r="P25"/>
      <c r="R25"/>
      <c r="S25" s="8"/>
      <c r="T25"/>
      <c r="AN25" s="6"/>
      <c r="AO25" s="6"/>
      <c r="AP25" s="6"/>
    </row>
    <row r="26" spans="1:43">
      <c r="A26"/>
      <c r="B26"/>
      <c r="C26"/>
      <c r="D26"/>
      <c r="E26"/>
      <c r="F26"/>
      <c r="G26"/>
      <c r="N26"/>
      <c r="R26"/>
      <c r="S26"/>
      <c r="AO26" s="6"/>
      <c r="AP26" s="6"/>
      <c r="AQ26" s="6"/>
    </row>
    <row r="27" spans="1:43">
      <c r="A27"/>
      <c r="B27"/>
      <c r="C27"/>
      <c r="D27"/>
      <c r="E27"/>
      <c r="F27"/>
      <c r="G27"/>
      <c r="N27"/>
      <c r="R27"/>
      <c r="S27"/>
      <c r="AO27" s="6"/>
      <c r="AP27" s="6"/>
      <c r="AQ27" s="6"/>
    </row>
    <row r="28" spans="1:43">
      <c r="A28"/>
      <c r="B28"/>
      <c r="C28"/>
      <c r="D28"/>
      <c r="E28"/>
      <c r="F28"/>
      <c r="G28"/>
      <c r="N28"/>
      <c r="R28"/>
      <c r="S28"/>
      <c r="AO28" s="6"/>
      <c r="AP28" s="6"/>
      <c r="AQ28" s="6"/>
    </row>
    <row r="29" spans="1:43">
      <c r="A29" t="s">
        <v>33</v>
      </c>
      <c r="C29"/>
      <c r="D29" t="s">
        <v>34</v>
      </c>
      <c r="E29"/>
      <c r="F29"/>
      <c r="G29"/>
      <c r="H29" s="22" t="s">
        <v>35</v>
      </c>
      <c r="L29" t="s">
        <v>36</v>
      </c>
      <c r="N29"/>
      <c r="O29" s="22" t="s">
        <v>37</v>
      </c>
      <c r="P29"/>
      <c r="R29" s="22" t="s">
        <v>38</v>
      </c>
      <c r="S29"/>
      <c r="T29"/>
      <c r="U29" s="22" t="s">
        <v>39</v>
      </c>
      <c r="X29" t="s">
        <v>40</v>
      </c>
      <c r="AA29" t="s">
        <v>41</v>
      </c>
      <c r="AD29" t="s">
        <v>42</v>
      </c>
      <c r="AG29" t="s">
        <v>68</v>
      </c>
      <c r="AJ29" t="s">
        <v>67</v>
      </c>
      <c r="AO29" s="6"/>
      <c r="AP29" s="6"/>
      <c r="AQ29" s="6"/>
    </row>
    <row r="30" spans="1:43">
      <c r="A30" s="23" t="s">
        <v>43</v>
      </c>
      <c r="B30" s="24" t="s">
        <v>44</v>
      </c>
      <c r="C30" s="25"/>
      <c r="D30" s="23" t="s">
        <v>43</v>
      </c>
      <c r="E30" s="23"/>
      <c r="F30" s="24" t="s">
        <v>44</v>
      </c>
      <c r="G30" s="25"/>
      <c r="H30" s="23" t="s">
        <v>43</v>
      </c>
      <c r="I30" s="24" t="s">
        <v>44</v>
      </c>
      <c r="J30" s="25"/>
      <c r="K30" s="25"/>
      <c r="L30" s="23" t="s">
        <v>43</v>
      </c>
      <c r="M30" s="24" t="s">
        <v>44</v>
      </c>
      <c r="N30" s="25"/>
      <c r="O30" s="23" t="s">
        <v>43</v>
      </c>
      <c r="P30" s="24" t="s">
        <v>44</v>
      </c>
      <c r="Q30" s="25"/>
      <c r="R30" s="23" t="s">
        <v>43</v>
      </c>
      <c r="S30" s="24" t="s">
        <v>44</v>
      </c>
      <c r="T30" s="25"/>
      <c r="U30" s="23" t="s">
        <v>43</v>
      </c>
      <c r="V30" s="24" t="s">
        <v>44</v>
      </c>
      <c r="W30" s="25"/>
      <c r="X30" s="23" t="s">
        <v>43</v>
      </c>
      <c r="Y30" s="24" t="s">
        <v>44</v>
      </c>
      <c r="Z30" s="25"/>
      <c r="AA30" s="23" t="s">
        <v>43</v>
      </c>
      <c r="AB30" s="24" t="s">
        <v>44</v>
      </c>
      <c r="AC30" s="25"/>
      <c r="AD30" s="23" t="s">
        <v>43</v>
      </c>
      <c r="AE30" s="24" t="s">
        <v>44</v>
      </c>
      <c r="AF30" s="25"/>
      <c r="AG30" s="23" t="s">
        <v>43</v>
      </c>
      <c r="AH30" s="24" t="s">
        <v>44</v>
      </c>
      <c r="AJ30" s="23" t="s">
        <v>43</v>
      </c>
      <c r="AK30" s="24" t="s">
        <v>44</v>
      </c>
      <c r="AO30" s="6"/>
      <c r="AP30" s="6"/>
      <c r="AQ30" s="6"/>
    </row>
    <row r="31" spans="1:43">
      <c r="A31" s="26" t="s">
        <v>45</v>
      </c>
      <c r="B31" s="27">
        <f>10^(0.8979*(LOG(B35)-0.0782))</f>
        <v>65.075844307649163</v>
      </c>
      <c r="C31"/>
      <c r="D31" s="26" t="s">
        <v>45</v>
      </c>
      <c r="E31" s="26"/>
      <c r="F31" s="27">
        <f>10^(0.8979*(LOG(F35)-0.0782))</f>
        <v>95.678557064762984</v>
      </c>
      <c r="G31"/>
      <c r="H31" s="26" t="s">
        <v>45</v>
      </c>
      <c r="I31" s="27">
        <f>10^(0.8979*(LOG(I35)-0.0782))</f>
        <v>94.361617588136198</v>
      </c>
      <c r="L31" s="26" t="s">
        <v>45</v>
      </c>
      <c r="M31" s="27">
        <f>10^(0.8979*(LOG(M35)-0.0782))</f>
        <v>66.547031399453459</v>
      </c>
      <c r="N31"/>
      <c r="O31" s="26" t="s">
        <v>45</v>
      </c>
      <c r="P31" s="27">
        <f>10^(0.8979*(LOG(P35)-0.0782))</f>
        <v>52.657191803531148</v>
      </c>
      <c r="R31" s="26" t="s">
        <v>45</v>
      </c>
      <c r="S31" s="27">
        <f>10^(0.8979*(LOG(S35)-0.0782))</f>
        <v>83.995582770451918</v>
      </c>
      <c r="T31"/>
      <c r="U31" s="26" t="s">
        <v>45</v>
      </c>
      <c r="V31" s="27">
        <f>10^(0.8979*(LOG(V35)-0.0782))</f>
        <v>57.302209359022697</v>
      </c>
      <c r="X31" s="26" t="s">
        <v>45</v>
      </c>
      <c r="Y31" s="27">
        <f>10^(0.8979*(LOG(Y35)-0.0782))</f>
        <v>50.69131816154853</v>
      </c>
      <c r="AA31" s="26" t="s">
        <v>45</v>
      </c>
      <c r="AB31" s="27">
        <f>10^(0.8979*(LOG(AB35)-0.0782))</f>
        <v>50.185861677351227</v>
      </c>
      <c r="AD31" s="26" t="s">
        <v>45</v>
      </c>
      <c r="AE31" s="27">
        <f>10^(0.8979*(LOG(AE35)-0.0782))</f>
        <v>48.310576150752659</v>
      </c>
      <c r="AG31" s="26" t="s">
        <v>45</v>
      </c>
      <c r="AH31" s="27">
        <f>10^(0.8979*(LOG(AH35)-0.0782))</f>
        <v>46.273872749380601</v>
      </c>
      <c r="AJ31" s="26" t="s">
        <v>45</v>
      </c>
      <c r="AK31" s="27">
        <f>10^(0.8979*(LOG(AK35)-0.0782))</f>
        <v>42.99358927081871</v>
      </c>
      <c r="AO31" s="6"/>
      <c r="AP31" s="6"/>
      <c r="AQ31" s="6"/>
    </row>
    <row r="32" spans="1:43">
      <c r="A32" s="26" t="s">
        <v>46</v>
      </c>
      <c r="B32" s="27">
        <v>119</v>
      </c>
      <c r="C32" s="28"/>
      <c r="D32" s="26" t="s">
        <v>46</v>
      </c>
      <c r="E32" s="26"/>
      <c r="F32" s="27">
        <v>182.8</v>
      </c>
      <c r="G32"/>
      <c r="H32" s="26" t="s">
        <v>46</v>
      </c>
      <c r="I32" s="27">
        <v>180</v>
      </c>
      <c r="L32" s="26" t="s">
        <v>46</v>
      </c>
      <c r="M32" s="27">
        <v>122</v>
      </c>
      <c r="N32"/>
      <c r="O32" s="26" t="s">
        <v>46</v>
      </c>
      <c r="P32" s="27">
        <v>94</v>
      </c>
      <c r="R32" s="26" t="s">
        <v>46</v>
      </c>
      <c r="S32" s="27">
        <v>158.12</v>
      </c>
      <c r="T32"/>
      <c r="U32" s="26" t="s">
        <v>46</v>
      </c>
      <c r="V32" s="27">
        <v>103.28</v>
      </c>
      <c r="X32" s="26" t="s">
        <v>46</v>
      </c>
      <c r="Y32" s="27">
        <v>90.1</v>
      </c>
      <c r="AA32" s="26" t="s">
        <v>46</v>
      </c>
      <c r="AB32" s="27">
        <v>89.1</v>
      </c>
      <c r="AD32" s="26" t="s">
        <v>46</v>
      </c>
      <c r="AE32" s="27">
        <v>85.4</v>
      </c>
      <c r="AG32" s="26" t="s">
        <v>46</v>
      </c>
      <c r="AH32" s="27">
        <v>81.400000000000006</v>
      </c>
      <c r="AJ32" s="26" t="s">
        <v>46</v>
      </c>
      <c r="AK32" s="27">
        <v>75</v>
      </c>
    </row>
    <row r="33" spans="1:37">
      <c r="A33" s="26" t="s">
        <v>47</v>
      </c>
      <c r="B33" s="27" t="e">
        <f>-(1/B37)*LN(1-(B31/B35))</f>
        <v>#DIV/0!</v>
      </c>
      <c r="C33"/>
      <c r="D33" s="26" t="s">
        <v>47</v>
      </c>
      <c r="E33" s="26"/>
      <c r="F33" s="27" t="e">
        <f>-(1/F37)*LN(1-(F31/F35))</f>
        <v>#DIV/0!</v>
      </c>
      <c r="G33"/>
      <c r="H33" s="26" t="s">
        <v>47</v>
      </c>
      <c r="I33" s="27" t="e">
        <f>-(1/I37)*LN(1-(I31/I35))</f>
        <v>#DIV/0!</v>
      </c>
      <c r="L33" s="26" t="s">
        <v>47</v>
      </c>
      <c r="M33" s="27" t="e">
        <f>-(1/M37)*LN(1-(M31/M35))</f>
        <v>#DIV/0!</v>
      </c>
      <c r="N33"/>
      <c r="O33" s="26" t="s">
        <v>47</v>
      </c>
      <c r="P33" s="27" t="e">
        <f>-(1/P37)*LN(1-(P31/P35))</f>
        <v>#DIV/0!</v>
      </c>
      <c r="R33" s="26" t="s">
        <v>47</v>
      </c>
      <c r="S33" s="27" t="e">
        <f>-(1/S37)*LN(1-(S31/S35))</f>
        <v>#DIV/0!</v>
      </c>
      <c r="T33"/>
      <c r="U33" s="26" t="s">
        <v>47</v>
      </c>
      <c r="V33" s="27" t="e">
        <f>-(1/V37)*LN(1-(V31/V35))</f>
        <v>#DIV/0!</v>
      </c>
      <c r="X33" s="26" t="s">
        <v>47</v>
      </c>
      <c r="Y33" s="27" t="e">
        <f>-(1/Y37)*LN(1-(Y31/Y35))</f>
        <v>#DIV/0!</v>
      </c>
      <c r="AA33" s="26" t="s">
        <v>47</v>
      </c>
      <c r="AB33" s="27" t="e">
        <f>-(1/AB37)*LN(1-(AB31/AB35))</f>
        <v>#DIV/0!</v>
      </c>
      <c r="AD33" s="26" t="s">
        <v>47</v>
      </c>
      <c r="AE33" s="27" t="e">
        <f>-(1/AE37)*LN(1-(AE31/AE35))</f>
        <v>#DIV/0!</v>
      </c>
      <c r="AG33" s="26" t="s">
        <v>47</v>
      </c>
      <c r="AH33" s="27" t="e">
        <f>-(1/AH37)*LN(1-(AH31/AH35))</f>
        <v>#DIV/0!</v>
      </c>
      <c r="AJ33" s="26" t="s">
        <v>47</v>
      </c>
      <c r="AK33" s="27" t="e">
        <f>-(1/AK37)*LN(1-(AK31/AK35))</f>
        <v>#DIV/0!</v>
      </c>
    </row>
    <row r="34" spans="1:37">
      <c r="A34" s="29" t="s">
        <v>5</v>
      </c>
      <c r="B34" s="30">
        <f>B32/0.95</f>
        <v>125.26315789473685</v>
      </c>
      <c r="C34" s="29"/>
      <c r="D34" s="29" t="s">
        <v>5</v>
      </c>
      <c r="E34" s="29"/>
      <c r="F34" s="30">
        <f>F32/0.95</f>
        <v>192.42105263157896</v>
      </c>
      <c r="G34" s="29"/>
      <c r="H34" s="29" t="s">
        <v>5</v>
      </c>
      <c r="I34" s="30">
        <f>I32/0.95</f>
        <v>189.47368421052633</v>
      </c>
      <c r="J34" s="29"/>
      <c r="K34" s="29"/>
      <c r="L34" s="29" t="s">
        <v>5</v>
      </c>
      <c r="M34" s="30">
        <f>M32/0.95</f>
        <v>128.42105263157896</v>
      </c>
      <c r="N34" s="29"/>
      <c r="O34" s="29" t="s">
        <v>5</v>
      </c>
      <c r="P34" s="30">
        <f>P32/0.95</f>
        <v>98.94736842105263</v>
      </c>
      <c r="Q34" s="29"/>
      <c r="R34" s="29" t="s">
        <v>5</v>
      </c>
      <c r="S34" s="30">
        <f>S32/0.95</f>
        <v>166.44210526315791</v>
      </c>
      <c r="T34" s="29"/>
      <c r="U34" s="29" t="s">
        <v>5</v>
      </c>
      <c r="V34" s="30">
        <f>V32/0.95</f>
        <v>108.71578947368421</v>
      </c>
      <c r="W34" s="29"/>
      <c r="X34" s="29" t="s">
        <v>5</v>
      </c>
      <c r="Y34" s="30">
        <f>Y32/0.95</f>
        <v>94.84210526315789</v>
      </c>
      <c r="Z34" s="29"/>
      <c r="AA34" s="29" t="s">
        <v>5</v>
      </c>
      <c r="AB34" s="30">
        <f>AB32/0.95</f>
        <v>93.78947368421052</v>
      </c>
      <c r="AC34" s="29"/>
      <c r="AD34" s="29" t="s">
        <v>5</v>
      </c>
      <c r="AE34" s="30">
        <f>AE32/0.95</f>
        <v>89.894736842105274</v>
      </c>
      <c r="AF34" s="29"/>
      <c r="AG34" s="29" t="s">
        <v>5</v>
      </c>
      <c r="AH34" s="30">
        <f>AH32/0.95</f>
        <v>85.684210526315795</v>
      </c>
      <c r="AJ34" s="29" t="s">
        <v>5</v>
      </c>
      <c r="AK34" s="30">
        <f>AK32/0.95</f>
        <v>78.94736842105263</v>
      </c>
    </row>
    <row r="35" spans="1:37">
      <c r="A35" s="31" t="s">
        <v>5</v>
      </c>
      <c r="B35" s="6">
        <v>125.26315789473685</v>
      </c>
      <c r="C35" s="31"/>
      <c r="D35" s="31" t="s">
        <v>5</v>
      </c>
      <c r="E35" s="31"/>
      <c r="F35" s="6">
        <v>192.42105263157896</v>
      </c>
      <c r="G35" s="31"/>
      <c r="H35" s="31" t="s">
        <v>5</v>
      </c>
      <c r="I35" s="6">
        <f>I34</f>
        <v>189.47368421052633</v>
      </c>
      <c r="J35" s="31"/>
      <c r="K35" s="31"/>
      <c r="L35" s="31" t="s">
        <v>5</v>
      </c>
      <c r="M35" s="6">
        <f>M34</f>
        <v>128.42105263157896</v>
      </c>
      <c r="N35" s="31"/>
      <c r="O35" s="31" t="s">
        <v>5</v>
      </c>
      <c r="P35" s="6">
        <f>P34</f>
        <v>98.94736842105263</v>
      </c>
      <c r="Q35" s="31"/>
      <c r="R35" s="31" t="s">
        <v>5</v>
      </c>
      <c r="S35" s="6">
        <f>S34</f>
        <v>166.44210526315791</v>
      </c>
      <c r="T35" s="31"/>
      <c r="U35" s="31" t="s">
        <v>5</v>
      </c>
      <c r="V35" s="6">
        <f>V34</f>
        <v>108.71578947368421</v>
      </c>
      <c r="W35" s="31"/>
      <c r="X35" s="31" t="s">
        <v>5</v>
      </c>
      <c r="Y35" s="6">
        <f>Y34</f>
        <v>94.84210526315789</v>
      </c>
      <c r="Z35" s="31"/>
      <c r="AA35" s="31" t="s">
        <v>5</v>
      </c>
      <c r="AB35" s="6">
        <f>AB34</f>
        <v>93.78947368421052</v>
      </c>
      <c r="AC35" s="31"/>
      <c r="AD35" s="31" t="s">
        <v>5</v>
      </c>
      <c r="AE35" s="6">
        <f>AE34</f>
        <v>89.894736842105274</v>
      </c>
      <c r="AF35" s="31"/>
      <c r="AG35" s="31" t="s">
        <v>5</v>
      </c>
      <c r="AH35" s="6">
        <f>AH34</f>
        <v>85.684210526315795</v>
      </c>
      <c r="AJ35" s="31" t="s">
        <v>5</v>
      </c>
      <c r="AK35" s="6">
        <f>AK34</f>
        <v>78.94736842105263</v>
      </c>
    </row>
    <row r="36" spans="1:37">
      <c r="A36" s="26" t="s">
        <v>7</v>
      </c>
      <c r="B36" s="27">
        <f>10^(1.053*(LOG(B31)-0.0565))</f>
        <v>70.800538591377659</v>
      </c>
      <c r="C36"/>
      <c r="D36" s="26" t="s">
        <v>7</v>
      </c>
      <c r="E36" s="26"/>
      <c r="F36" s="27">
        <f>10^(1.053*(LOG(F31)-0.0565))</f>
        <v>106.24372566737671</v>
      </c>
      <c r="G36"/>
      <c r="H36" s="26" t="s">
        <v>7</v>
      </c>
      <c r="I36" s="27">
        <f>10^(1.053*(LOG(I31)-0.0565))</f>
        <v>104.70442403280995</v>
      </c>
      <c r="L36" s="26" t="s">
        <v>7</v>
      </c>
      <c r="M36" s="27">
        <f>10^(1.053*(LOG(M31)-0.0565))</f>
        <v>72.486980151019353</v>
      </c>
      <c r="N36"/>
      <c r="O36" s="26" t="s">
        <v>7</v>
      </c>
      <c r="P36" s="27">
        <f>10^(1.053*(LOG(P31)-0.0565))</f>
        <v>56.650070199779897</v>
      </c>
      <c r="R36" s="26" t="s">
        <v>7</v>
      </c>
      <c r="S36" s="27">
        <f>10^(1.053*(LOG(S31)-0.0565))</f>
        <v>92.629120252365524</v>
      </c>
      <c r="T36"/>
      <c r="U36" s="26" t="s">
        <v>7</v>
      </c>
      <c r="V36" s="27">
        <f>10^(1.053*(LOG(V31)-0.0565))</f>
        <v>61.924135106648841</v>
      </c>
      <c r="X36" s="26" t="s">
        <v>7</v>
      </c>
      <c r="Y36" s="27">
        <f>10^(1.053*(LOG(Y31)-0.0565))</f>
        <v>54.425266540366046</v>
      </c>
      <c r="AA36" s="26" t="s">
        <v>7</v>
      </c>
      <c r="AB36" s="27">
        <f>10^(1.053*(LOG(AB31)-0.0565))</f>
        <v>53.853966851102605</v>
      </c>
      <c r="AD36" s="26" t="s">
        <v>7</v>
      </c>
      <c r="AE36" s="27">
        <f>10^(1.053*(LOG(AE31)-0.0565))</f>
        <v>51.737084832417722</v>
      </c>
      <c r="AG36" s="26" t="s">
        <v>7</v>
      </c>
      <c r="AH36" s="27">
        <f>10^(1.053*(LOG(AH31)-0.0565))</f>
        <v>49.442924155529688</v>
      </c>
      <c r="AJ36" s="26" t="s">
        <v>7</v>
      </c>
      <c r="AK36" s="27">
        <f>10^(1.053*(LOG(AK31)-0.0565))</f>
        <v>45.759323942794239</v>
      </c>
    </row>
    <row r="37" spans="1:37">
      <c r="A37" s="31" t="s">
        <v>48</v>
      </c>
      <c r="B37" s="6"/>
      <c r="C37" s="31"/>
      <c r="D37" s="31" t="s">
        <v>48</v>
      </c>
      <c r="E37" s="31"/>
      <c r="F37" s="6"/>
      <c r="G37" s="31"/>
      <c r="H37" s="31" t="s">
        <v>48</v>
      </c>
      <c r="I37" s="6"/>
      <c r="J37" s="31"/>
      <c r="K37" s="31"/>
      <c r="L37" s="31" t="s">
        <v>48</v>
      </c>
      <c r="M37" s="6"/>
      <c r="N37" s="31"/>
      <c r="O37" s="31" t="s">
        <v>48</v>
      </c>
      <c r="P37" s="6"/>
      <c r="Q37" s="31"/>
      <c r="R37" s="31" t="s">
        <v>48</v>
      </c>
      <c r="S37" s="6"/>
      <c r="T37" s="31"/>
      <c r="U37" s="31" t="s">
        <v>48</v>
      </c>
      <c r="V37" s="6"/>
      <c r="W37" s="31"/>
      <c r="X37" s="31" t="s">
        <v>48</v>
      </c>
      <c r="Y37" s="6"/>
      <c r="Z37" s="31"/>
      <c r="AA37" s="31" t="s">
        <v>48</v>
      </c>
      <c r="AB37" s="6"/>
      <c r="AC37" s="31"/>
      <c r="AD37" s="31" t="s">
        <v>48</v>
      </c>
      <c r="AE37" s="6"/>
      <c r="AF37" s="31"/>
      <c r="AG37" s="31" t="s">
        <v>48</v>
      </c>
      <c r="AH37" s="6"/>
      <c r="AJ37" s="31" t="s">
        <v>48</v>
      </c>
      <c r="AK37" s="6"/>
    </row>
    <row r="38" spans="1:37">
      <c r="A38" s="26" t="s">
        <v>49</v>
      </c>
      <c r="B38" s="27" t="e">
        <f>3/B37</f>
        <v>#DIV/0!</v>
      </c>
      <c r="C38"/>
      <c r="D38" s="26" t="s">
        <v>49</v>
      </c>
      <c r="E38" s="26"/>
      <c r="F38" s="27" t="e">
        <f>3/F37</f>
        <v>#DIV/0!</v>
      </c>
      <c r="G38"/>
      <c r="H38" s="26" t="s">
        <v>49</v>
      </c>
      <c r="I38" s="27" t="e">
        <f>3/I37</f>
        <v>#DIV/0!</v>
      </c>
      <c r="L38" s="26" t="s">
        <v>49</v>
      </c>
      <c r="M38" s="27" t="e">
        <f>3/M37</f>
        <v>#DIV/0!</v>
      </c>
      <c r="N38"/>
      <c r="O38" s="26" t="s">
        <v>49</v>
      </c>
      <c r="P38" s="27" t="e">
        <f>3/P37</f>
        <v>#DIV/0!</v>
      </c>
      <c r="R38" s="26" t="s">
        <v>49</v>
      </c>
      <c r="S38" s="27" t="e">
        <f>3/S37</f>
        <v>#DIV/0!</v>
      </c>
      <c r="T38"/>
      <c r="U38" s="26" t="s">
        <v>49</v>
      </c>
      <c r="V38" s="27" t="e">
        <f>3/V37</f>
        <v>#DIV/0!</v>
      </c>
      <c r="X38" s="26" t="s">
        <v>49</v>
      </c>
      <c r="Y38" s="27" t="e">
        <f>3/Y37</f>
        <v>#DIV/0!</v>
      </c>
      <c r="AA38" s="26" t="s">
        <v>49</v>
      </c>
      <c r="AB38" s="27" t="e">
        <f>3/AB37</f>
        <v>#DIV/0!</v>
      </c>
      <c r="AD38" s="26" t="s">
        <v>49</v>
      </c>
      <c r="AE38" s="27" t="e">
        <f>3/AE37</f>
        <v>#DIV/0!</v>
      </c>
      <c r="AG38" s="26" t="s">
        <v>49</v>
      </c>
      <c r="AH38" s="27" t="e">
        <f>3/AH37</f>
        <v>#DIV/0!</v>
      </c>
      <c r="AJ38" s="26" t="s">
        <v>49</v>
      </c>
      <c r="AK38" s="27" t="e">
        <f>3/AK37</f>
        <v>#DIV/0!</v>
      </c>
    </row>
    <row r="39" spans="1:37">
      <c r="A39" s="26" t="s">
        <v>50</v>
      </c>
      <c r="B39" s="27" t="e">
        <f>EXP(1.44-0.982*LN(B38))</f>
        <v>#DIV/0!</v>
      </c>
      <c r="C39"/>
      <c r="D39" s="26" t="s">
        <v>50</v>
      </c>
      <c r="E39" s="26"/>
      <c r="F39" s="27" t="e">
        <f>EXP(1.44-0.982*LN(F38))</f>
        <v>#DIV/0!</v>
      </c>
      <c r="G39"/>
      <c r="H39" s="26" t="s">
        <v>50</v>
      </c>
      <c r="I39" s="27" t="e">
        <f>EXP(1.44-0.982*LN(I38))</f>
        <v>#DIV/0!</v>
      </c>
      <c r="L39" s="26" t="s">
        <v>50</v>
      </c>
      <c r="M39" s="27" t="e">
        <f>EXP(1.44-0.982*LN(M38))</f>
        <v>#DIV/0!</v>
      </c>
      <c r="N39"/>
      <c r="O39" s="26" t="s">
        <v>50</v>
      </c>
      <c r="P39" s="27" t="e">
        <f>EXP(1.44-0.982*LN(P38))</f>
        <v>#DIV/0!</v>
      </c>
      <c r="R39" s="26" t="s">
        <v>50</v>
      </c>
      <c r="S39" s="27" t="e">
        <f>EXP(1.44-0.982*LN(S38))</f>
        <v>#DIV/0!</v>
      </c>
      <c r="T39"/>
      <c r="U39" s="26" t="s">
        <v>50</v>
      </c>
      <c r="V39" s="27" t="e">
        <f>EXP(1.44-0.982*LN(V38))</f>
        <v>#DIV/0!</v>
      </c>
      <c r="X39" s="26" t="s">
        <v>50</v>
      </c>
      <c r="Y39" s="27" t="e">
        <f>EXP(1.44-0.982*LN(Y38))</f>
        <v>#DIV/0!</v>
      </c>
      <c r="AA39" s="26" t="s">
        <v>50</v>
      </c>
      <c r="AB39" s="27" t="e">
        <f>EXP(1.44-0.982*LN(AB38))</f>
        <v>#DIV/0!</v>
      </c>
      <c r="AD39" s="26" t="s">
        <v>50</v>
      </c>
      <c r="AE39" s="27" t="e">
        <f>EXP(1.44-0.982*LN(AE38))</f>
        <v>#DIV/0!</v>
      </c>
      <c r="AG39" s="26" t="s">
        <v>50</v>
      </c>
      <c r="AH39" s="27" t="e">
        <f>EXP(1.44-0.982*LN(AH38))</f>
        <v>#DIV/0!</v>
      </c>
      <c r="AJ39" s="26" t="s">
        <v>50</v>
      </c>
      <c r="AK39" s="27" t="e">
        <f>EXP(1.44-0.982*LN(AK38))</f>
        <v>#DIV/0!</v>
      </c>
    </row>
    <row r="40" spans="1:37">
      <c r="A40" s="32" t="s">
        <v>51</v>
      </c>
      <c r="C40"/>
      <c r="D40"/>
      <c r="E40"/>
      <c r="F40"/>
      <c r="G40"/>
      <c r="N40"/>
      <c r="P40"/>
      <c r="R40"/>
      <c r="S40"/>
      <c r="T40"/>
    </row>
    <row r="41" spans="1:37">
      <c r="A41" s="26"/>
      <c r="B41" s="33"/>
      <c r="C41"/>
      <c r="D41" s="26"/>
      <c r="E41" s="26"/>
      <c r="F41" s="33"/>
      <c r="G41"/>
      <c r="H41" s="26"/>
      <c r="I41" s="33"/>
      <c r="L41" s="26"/>
      <c r="M41" s="33"/>
      <c r="N41"/>
      <c r="O41" s="26"/>
      <c r="P41" s="33"/>
      <c r="R41" s="26"/>
      <c r="S41" s="33"/>
      <c r="T41"/>
      <c r="U41" s="26"/>
      <c r="V41" s="33"/>
      <c r="X41" s="26"/>
      <c r="Y41" s="33"/>
      <c r="AA41" s="26"/>
      <c r="AB41" s="33"/>
    </row>
    <row r="42" spans="1:37">
      <c r="A42" s="31"/>
      <c r="B42" s="34"/>
      <c r="C42"/>
      <c r="D42" s="31"/>
      <c r="E42" s="31"/>
      <c r="F42" s="34"/>
      <c r="G42"/>
      <c r="H42" s="31"/>
      <c r="I42" s="34"/>
      <c r="L42" s="31"/>
      <c r="M42" s="34"/>
      <c r="N42"/>
      <c r="O42" s="31"/>
      <c r="P42" s="34"/>
      <c r="R42" s="31"/>
      <c r="S42" s="34"/>
      <c r="T42"/>
      <c r="U42" s="31"/>
      <c r="V42" s="34"/>
      <c r="X42" s="31"/>
      <c r="Y42" s="34"/>
      <c r="AA42" s="31"/>
      <c r="AB42" s="34"/>
    </row>
    <row r="43" spans="1:37">
      <c r="A43" s="2" t="s">
        <v>52</v>
      </c>
      <c r="B43" s="2" t="s">
        <v>57</v>
      </c>
      <c r="C43" s="2" t="s">
        <v>58</v>
      </c>
    </row>
    <row r="44" spans="1:37">
      <c r="A44" s="2" t="s">
        <v>53</v>
      </c>
      <c r="B44" s="2" t="s">
        <v>61</v>
      </c>
      <c r="C44" s="2" t="s">
        <v>62</v>
      </c>
    </row>
    <row r="45" spans="1:37">
      <c r="A45" s="2" t="s">
        <v>54</v>
      </c>
      <c r="B45" s="2" t="s">
        <v>59</v>
      </c>
      <c r="C45" s="2" t="s">
        <v>60</v>
      </c>
    </row>
    <row r="46" spans="1:37">
      <c r="A46" s="2" t="s">
        <v>55</v>
      </c>
      <c r="B46" s="2" t="s">
        <v>65</v>
      </c>
      <c r="C46" s="2" t="s">
        <v>66</v>
      </c>
    </row>
    <row r="47" spans="1:37">
      <c r="A47" s="2" t="s">
        <v>56</v>
      </c>
      <c r="B47" s="2" t="s">
        <v>63</v>
      </c>
      <c r="C47" s="2" t="s">
        <v>64</v>
      </c>
    </row>
  </sheetData>
  <mergeCells count="5">
    <mergeCell ref="R2:R4"/>
    <mergeCell ref="R5:R7"/>
    <mergeCell ref="R8:R10"/>
    <mergeCell ref="R11:R13"/>
    <mergeCell ref="R14:R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BD4E9-5CBD-48E6-9263-96C83F007277}">
  <dimension ref="A1:C6"/>
  <sheetViews>
    <sheetView workbookViewId="0">
      <selection activeCell="H11" sqref="H11"/>
    </sheetView>
  </sheetViews>
  <sheetFormatPr defaultRowHeight="14.4"/>
  <sheetData>
    <row r="1" spans="1:3">
      <c r="A1" s="14" t="s">
        <v>13</v>
      </c>
      <c r="B1" s="15" t="s">
        <v>20</v>
      </c>
      <c r="C1" s="15" t="s">
        <v>21</v>
      </c>
    </row>
    <row r="2" spans="1:3">
      <c r="A2" s="8">
        <v>5</v>
      </c>
      <c r="B2" s="2">
        <v>67</v>
      </c>
      <c r="C2" s="2">
        <v>67</v>
      </c>
    </row>
    <row r="3" spans="1:3">
      <c r="A3" s="8">
        <v>4</v>
      </c>
      <c r="B3" s="2">
        <v>52</v>
      </c>
      <c r="C3" s="2">
        <v>44</v>
      </c>
    </row>
    <row r="4" spans="1:3">
      <c r="A4" s="8">
        <v>3</v>
      </c>
      <c r="B4" s="2">
        <v>67</v>
      </c>
      <c r="C4" s="2">
        <v>67</v>
      </c>
    </row>
    <row r="5" spans="1:3">
      <c r="A5" s="8">
        <v>2</v>
      </c>
      <c r="B5" s="2">
        <v>67</v>
      </c>
      <c r="C5" s="2">
        <v>67</v>
      </c>
    </row>
    <row r="6" spans="1:3">
      <c r="A6" s="8">
        <v>1</v>
      </c>
      <c r="B6" s="2">
        <v>67</v>
      </c>
      <c r="C6" s="2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lenghtpar</vt:lpstr>
      <vt:lpstr>froesepar</vt:lpstr>
      <vt:lpstr>BaseModel and summary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Ataher Ali</cp:lastModifiedBy>
  <dcterms:created xsi:type="dcterms:W3CDTF">2024-11-13T22:39:35Z</dcterms:created>
  <dcterms:modified xsi:type="dcterms:W3CDTF">2025-06-28T00:16:38Z</dcterms:modified>
</cp:coreProperties>
</file>